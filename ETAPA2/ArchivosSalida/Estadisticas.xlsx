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hi\Desktop\Proyecto-P1\ETAPA2\ArchivosSalida\"/>
    </mc:Choice>
  </mc:AlternateContent>
  <xr:revisionPtr revIDLastSave="0" documentId="8_{15B06BA2-26DE-478D-A485-C0D4A8D17A9D}" xr6:coauthVersionLast="47" xr6:coauthVersionMax="47" xr10:uidLastSave="{00000000-0000-0000-0000-000000000000}"/>
  <bookViews>
    <workbookView xWindow="-120" yWindow="-120" windowWidth="20730" windowHeight="11160" firstSheet="3" activeTab="3" xr2:uid="{00EFCE8C-D955-4098-A636-A6A78EEE9CCA}"/>
  </bookViews>
  <sheets>
    <sheet name="cantEstudiantesUsanPack5Materia" sheetId="2" r:id="rId1"/>
    <sheet name="cantidadInscriptosXMateria" sheetId="3" r:id="rId2"/>
    <sheet name="PorcentajeDeAprobacionXMateria" sheetId="4" r:id="rId3"/>
    <sheet name="rankingFlashcards" sheetId="5" r:id="rId4"/>
    <sheet name="rankingMateriasFlashcards" sheetId="6" r:id="rId5"/>
  </sheets>
  <definedNames>
    <definedName name="DatosExternos_1" localSheetId="0" hidden="1">cantEstudiantesUsanPack5Materia!$A$1:$B$3</definedName>
    <definedName name="DatosExternos_1" localSheetId="1" hidden="1">'cantidadInscriptosXMateria'!$A$1:$B$53</definedName>
    <definedName name="DatosExternos_1" localSheetId="2" hidden="1">PorcentajeDeAprobacionXMateria!$A$1:$D$52</definedName>
    <definedName name="DatosExternos_1" localSheetId="3" hidden="1">'rankingFlashcards'!$A$1:$C$55</definedName>
    <definedName name="DatosExternos_1" localSheetId="4" hidden="1">'rankingMateriasFlashcards'!$A$1:$B$52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4" l="1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30" i="5"/>
  <c r="B39" i="5"/>
  <c r="B2" i="5"/>
  <c r="B49" i="5"/>
  <c r="B31" i="5"/>
  <c r="B53" i="5"/>
  <c r="B3" i="5"/>
  <c r="B54" i="5"/>
  <c r="B4" i="5"/>
  <c r="B32" i="5"/>
  <c r="B5" i="5"/>
  <c r="B6" i="5"/>
  <c r="B50" i="5"/>
  <c r="B7" i="5"/>
  <c r="B40" i="5"/>
  <c r="B8" i="5"/>
  <c r="B9" i="5"/>
  <c r="B10" i="5"/>
  <c r="B33" i="5"/>
  <c r="B11" i="5"/>
  <c r="B41" i="5"/>
  <c r="B34" i="5"/>
  <c r="B12" i="5"/>
  <c r="B13" i="5"/>
  <c r="B55" i="5"/>
  <c r="B14" i="5"/>
  <c r="B15" i="5"/>
  <c r="B51" i="5"/>
  <c r="B16" i="5"/>
  <c r="B35" i="5"/>
  <c r="B17" i="5"/>
  <c r="B42" i="5"/>
  <c r="B18" i="5"/>
  <c r="B19" i="5"/>
  <c r="B36" i="5"/>
  <c r="B43" i="5"/>
  <c r="B20" i="5"/>
  <c r="B21" i="5"/>
  <c r="B44" i="5"/>
  <c r="B22" i="5"/>
  <c r="B37" i="5"/>
  <c r="B23" i="5"/>
  <c r="B45" i="5"/>
  <c r="B24" i="5"/>
  <c r="B52" i="5"/>
  <c r="B25" i="5"/>
  <c r="B26" i="5"/>
  <c r="B38" i="5"/>
  <c r="B27" i="5"/>
  <c r="B46" i="5"/>
  <c r="B28" i="5"/>
  <c r="B29" i="5"/>
  <c r="B47" i="5"/>
  <c r="B4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E37F4B-6F5D-4BB3-AE48-2FCDA048F640}" keepAlive="1" name="Consulta - cantEstudiantesUsanPack5Materias" description="Conexión a la consulta 'cantEstudiantesUsanPack5Materias' en el libro." type="5" refreshedVersion="8" background="1" saveData="1">
    <dbPr connection="Provider=Microsoft.Mashup.OleDb.1;Data Source=$Workbook$;Location=cantEstudiantesUsanPack5Materias;Extended Properties=&quot;&quot;" command="SELECT * FROM [cantEstudiantesUsanPack5Materias]"/>
  </connection>
  <connection id="2" xr16:uid="{95CB91EB-7834-4A58-B7C0-717DD1B92EB7}" keepAlive="1" name="Consulta - cantidadInscriptosXMateria" description="Conexión a la consulta 'cantidadInscriptosXMateria' en el libro." type="5" refreshedVersion="8" background="1" saveData="1">
    <dbPr connection="Provider=Microsoft.Mashup.OleDb.1;Data Source=$Workbook$;Location=cantidadInscriptosXMateria;Extended Properties=&quot;&quot;" command="SELECT * FROM [cantidadInscriptosXMateria]"/>
  </connection>
  <connection id="3" xr16:uid="{A8F370BD-72B5-4705-AB57-28D796B403E1}" keepAlive="1" name="Consulta - PorcentajeDeAprobacionXMateria" description="Conexión a la consulta 'PorcentajeDeAprobacionXMateria' en el libro." type="5" refreshedVersion="8" background="1" saveData="1">
    <dbPr connection="Provider=Microsoft.Mashup.OleDb.1;Data Source=$Workbook$;Location=PorcentajeDeAprobacionXMateria;Extended Properties=&quot;&quot;" command="SELECT * FROM [PorcentajeDeAprobacionXMateria]"/>
  </connection>
  <connection id="4" xr16:uid="{FA958996-61FA-4C57-BE67-3540B8A81076}" keepAlive="1" name="Consulta - rankingFlashcards" description="Conexión a la consulta 'rankingFlashcards' en el libro." type="5" refreshedVersion="8" background="1" saveData="1">
    <dbPr connection="Provider=Microsoft.Mashup.OleDb.1;Data Source=$Workbook$;Location=rankingFlashcards;Extended Properties=&quot;&quot;" command="SELECT * FROM [rankingFlashcards]"/>
  </connection>
  <connection id="5" xr16:uid="{FE53753C-82BA-4469-AF21-C98D63FA192C}" keepAlive="1" name="Consulta - rankingMateriasFlashcards" description="Conexión a la consulta 'rankingMateriasFlashcards' en el libro." type="5" refreshedVersion="8" background="1" saveData="1">
    <dbPr connection="Provider=Microsoft.Mashup.OleDb.1;Data Source=$Workbook$;Location=rankingMateriasFlashcards;Extended Properties=&quot;&quot;" command="SELECT * FROM [rankingMateriasFlashcards]"/>
  </connection>
</connections>
</file>

<file path=xl/sharedStrings.xml><?xml version="1.0" encoding="utf-8"?>
<sst xmlns="http://schemas.openxmlformats.org/spreadsheetml/2006/main" count="223" uniqueCount="115">
  <si>
    <t>Column1</t>
  </si>
  <si>
    <t>Column2</t>
  </si>
  <si>
    <t>Estudiantes que usan Pack 5 materias</t>
  </si>
  <si>
    <t>Estudiantes que no usan Pack 5 materias</t>
  </si>
  <si>
    <t>Fundamentos de Informatica</t>
  </si>
  <si>
    <t>Sistemas de Informacion I</t>
  </si>
  <si>
    <t>Pensamiento Critico y Comunicacion</t>
  </si>
  <si>
    <t>Teoria de Sistemas</t>
  </si>
  <si>
    <t>Elementos de Algebra y Geometria</t>
  </si>
  <si>
    <t>Programacion I</t>
  </si>
  <si>
    <t>Sistemas de Representacion</t>
  </si>
  <si>
    <t>Matematica Discreta</t>
  </si>
  <si>
    <t>Fundamentos de Quimica</t>
  </si>
  <si>
    <t>Algebra</t>
  </si>
  <si>
    <t>Programacion II</t>
  </si>
  <si>
    <t>Sistemas de Informacion II</t>
  </si>
  <si>
    <t>Sistemas Operativos</t>
  </si>
  <si>
    <t>Fisica I</t>
  </si>
  <si>
    <t>Calculo I</t>
  </si>
  <si>
    <t>Programacion III</t>
  </si>
  <si>
    <t>Paradigma Orientado a Objetos</t>
  </si>
  <si>
    <t>Fundamentos de Telecomunicaciones</t>
  </si>
  <si>
    <t>Ingenieria de Datos I</t>
  </si>
  <si>
    <t>Calculo II</t>
  </si>
  <si>
    <t>Proceso de Desarrollo de Software</t>
  </si>
  <si>
    <t>Seminario de Integracion Profesional</t>
  </si>
  <si>
    <t>Teleinformatica y Redes</t>
  </si>
  <si>
    <t>Ingenieria de Datos II</t>
  </si>
  <si>
    <t>Probabilidad y Estadistica</t>
  </si>
  <si>
    <t>Examen de Ingles</t>
  </si>
  <si>
    <t>Aplicaciones Interactivas</t>
  </si>
  <si>
    <t>Ingenieria de Software</t>
  </si>
  <si>
    <t>Fisica II</t>
  </si>
  <si>
    <t>Teoria de la Computacion</t>
  </si>
  <si>
    <t>Estadistica Avanzada</t>
  </si>
  <si>
    <t>Desarrollo de Aplicaciones I</t>
  </si>
  <si>
    <t>Direccion de Proyectos Informaticos</t>
  </si>
  <si>
    <t>Ciencia de Datos</t>
  </si>
  <si>
    <t>Seguridad e Integridad de la Informacion</t>
  </si>
  <si>
    <t>Modelado y Simulacion</t>
  </si>
  <si>
    <t>Desarrollo de Aplicaciones II</t>
  </si>
  <si>
    <t>Evaluacion de Proyectos Informaticos</t>
  </si>
  <si>
    <t>Inteligencia Artificial</t>
  </si>
  <si>
    <t>Tecnologia y Medio Ambiente</t>
  </si>
  <si>
    <t>Practica Profesional Supervisada</t>
  </si>
  <si>
    <t>Optativa 1</t>
  </si>
  <si>
    <t>Arquitectura de Aplicaciones</t>
  </si>
  <si>
    <t>Tendencias Tecnologicas</t>
  </si>
  <si>
    <t>Proyecto Final de Ingenieria en Informatica</t>
  </si>
  <si>
    <t>Calidad de Software</t>
  </si>
  <si>
    <t>Optativa 2</t>
  </si>
  <si>
    <t>Negocios Tecnologicos</t>
  </si>
  <si>
    <t>Tecnologia e Innovacion</t>
  </si>
  <si>
    <t>Derecho Informatico</t>
  </si>
  <si>
    <t>Optativa 3</t>
  </si>
  <si>
    <t xml:space="preserve">Total Alumnos: </t>
  </si>
  <si>
    <t>materia</t>
  </si>
  <si>
    <t>aprobados</t>
  </si>
  <si>
    <t>total</t>
  </si>
  <si>
    <t>¿Qué es un algoritmo?</t>
  </si>
  <si>
    <t>¿Qué diferencia hay entre hardware y software?</t>
  </si>
  <si>
    <t>¿Qué es un sistema de información?</t>
  </si>
  <si>
    <t>¿Qué implica pensar críticamente?</t>
  </si>
  <si>
    <t>¿Qué es un sistema abierto?</t>
  </si>
  <si>
    <t>¿Qué es una recta perpendicular?</t>
  </si>
  <si>
    <t>Verdadero o falso. Las tuplas son inmutables?</t>
  </si>
  <si>
    <t>¿Qué estructura se usa para repetir código?</t>
  </si>
  <si>
    <t>¿Qué es una proyección ortogonal?</t>
  </si>
  <si>
    <t>¿Qué es un conjunto?</t>
  </si>
  <si>
    <t>Formula para el oxido ferrico?</t>
  </si>
  <si>
    <t>¿Qué es una matriz identidad?</t>
  </si>
  <si>
    <t>¿Qué es una función recursiva?</t>
  </si>
  <si>
    <t>¿Qué es un ERP?</t>
  </si>
  <si>
    <t>¿Qué es un proceso?</t>
  </si>
  <si>
    <t>¿Qué hace el planificador del sistema operativo?</t>
  </si>
  <si>
    <t>¿Qué dice la segunda ley de Newton?</t>
  </si>
  <si>
    <t>¿Cuál es la derivada de x²?</t>
  </si>
  <si>
    <t>¿Qué es un patrón de diseño?</t>
  </si>
  <si>
    <t>¿Qué es la herencia?</t>
  </si>
  <si>
    <t>¿Qué es la modulación?</t>
  </si>
  <si>
    <t>¿Qué es un ETL?</t>
  </si>
  <si>
    <t>¿Qué es una integral definida?</t>
  </si>
  <si>
    <t>¿Qué es Scrum?</t>
  </si>
  <si>
    <t>¿Cuál es el objetivo del seminario?</t>
  </si>
  <si>
    <t>¿Qué capa del modelo OSI usa TCP?</t>
  </si>
  <si>
    <t>¿Qué es un data warehouse?</t>
  </si>
  <si>
    <t>¿Qué mide la desviación estándar?</t>
  </si>
  <si>
    <t>¿Qué significa 'throughout'?</t>
  </si>
  <si>
    <t>¿Qué es UX?</t>
  </si>
  <si>
    <t>¿Qué es un caso de uso?</t>
  </si>
  <si>
    <t>¿Qué es la ley de Coulomb?</t>
  </si>
  <si>
    <t>¿Qué es un autómata finito?</t>
  </si>
  <si>
    <t>¿Qué es la regresión lineal?</t>
  </si>
  <si>
    <t>¿Qué es una API REST?</t>
  </si>
  <si>
    <t>¿Qué es un diagrama de Gantt?</t>
  </si>
  <si>
    <t>¿Qué es un modelo supervisado?</t>
  </si>
  <si>
    <t>¿Qué es el cifrado simétrico?</t>
  </si>
  <si>
    <t>¿Qué es una simulación discreta?</t>
  </si>
  <si>
    <t>¿Qué es una SPA?</t>
  </si>
  <si>
    <t>¿Qué es el ROI?</t>
  </si>
  <si>
    <t>¿Qué es una red neuronal?</t>
  </si>
  <si>
    <t>¿Qué es la huella de carbono?</t>
  </si>
  <si>
    <t>¿Cuál es el objetivo de la PPS?</t>
  </si>
  <si>
    <t>¿Qué define una materia optativa?</t>
  </si>
  <si>
    <t>¿Qué es una arquitectura en microservicios?</t>
  </si>
  <si>
    <t>¿Qué es la computación cuántica?</t>
  </si>
  <si>
    <t>¿Qué busca el proyecto final?</t>
  </si>
  <si>
    <t>¿Qué es un test unitario?</t>
  </si>
  <si>
    <t>¿Qué se busca en una optativa?</t>
  </si>
  <si>
    <t>¿Qué es un MVP?</t>
  </si>
  <si>
    <t>¿Qué es la innovación disruptiva?</t>
  </si>
  <si>
    <t>¿Qué es la Ley de Protección de Datos Personales?</t>
  </si>
  <si>
    <t>¿Qué caracteriza a una optativa 3?</t>
  </si>
  <si>
    <t>Porcentaje</t>
  </si>
  <si>
    <t>PorcentajeReal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</si>
</sst>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Pack 5 materias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25-4693-821F-09BDF6196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25-4693-821F-09BDF619647D}"/>
              </c:ext>
            </c:extLst>
          </c:dPt>
          <c:cat>
            <c:strRef>
              <c:f>cantEstudiantesUsanPack5Materia!$A$2:$A$3</c:f>
              <c:strCache>
                <c:ptCount val="2"/>
                <c:pt idx="0">
                  <c:v>Estudiantes que usan Pack 5 materias</c:v>
                </c:pt>
                <c:pt idx="1">
                  <c:v>Estudiantes que no usan Pack 5 materias</c:v>
                </c:pt>
              </c:strCache>
            </c:strRef>
          </c:cat>
          <c:val>
            <c:numRef>
              <c:f>cantEstudiantesUsanPack5Materia!$B$2:$B$3</c:f>
              <c:numCache>
                <c:formatCode>General</c:formatCode>
                <c:ptCount val="2"/>
                <c:pt idx="0">
                  <c:v>10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7-494D-B1EB-1A8FB5AD5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Alumnos por materia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'cantidadInscriptosXMateria'!$A$2:$A$52</c:f>
              <c:strCache>
                <c:ptCount val="51"/>
                <c:pt idx="0">
                  <c:v>Fundamentos de Informatica</c:v>
                </c:pt>
                <c:pt idx="1">
                  <c:v>Sistemas de Informacion I</c:v>
                </c:pt>
                <c:pt idx="2">
                  <c:v>Pensamiento Critico y Comunicacion</c:v>
                </c:pt>
                <c:pt idx="3">
                  <c:v>Teoria de Sistemas</c:v>
                </c:pt>
                <c:pt idx="4">
                  <c:v>Elementos de Algebra y Geometria</c:v>
                </c:pt>
                <c:pt idx="5">
                  <c:v>Programacion I</c:v>
                </c:pt>
                <c:pt idx="6">
                  <c:v>Sistemas de Representacion</c:v>
                </c:pt>
                <c:pt idx="7">
                  <c:v>Matematica Discreta</c:v>
                </c:pt>
                <c:pt idx="8">
                  <c:v>Fundamentos de Quimica</c:v>
                </c:pt>
                <c:pt idx="9">
                  <c:v>Algebra</c:v>
                </c:pt>
                <c:pt idx="10">
                  <c:v>Programacion II</c:v>
                </c:pt>
                <c:pt idx="11">
                  <c:v>Sistemas de Informacion II</c:v>
                </c:pt>
                <c:pt idx="12">
                  <c:v>Sistemas Operativos</c:v>
                </c:pt>
                <c:pt idx="13">
                  <c:v>Fisica I</c:v>
                </c:pt>
                <c:pt idx="14">
                  <c:v>Calculo I</c:v>
                </c:pt>
                <c:pt idx="15">
                  <c:v>Programacion III</c:v>
                </c:pt>
                <c:pt idx="16">
                  <c:v>Paradigma Orientado a Objetos</c:v>
                </c:pt>
                <c:pt idx="17">
                  <c:v>Fundamentos de Telecomunicaciones</c:v>
                </c:pt>
                <c:pt idx="18">
                  <c:v>Ingenieria de Datos I</c:v>
                </c:pt>
                <c:pt idx="19">
                  <c:v>Calculo II</c:v>
                </c:pt>
                <c:pt idx="20">
                  <c:v>Proceso de Desarrollo de Software</c:v>
                </c:pt>
                <c:pt idx="21">
                  <c:v>Seminario de Integracion Profesional</c:v>
                </c:pt>
                <c:pt idx="22">
                  <c:v>Teleinformatica y Redes</c:v>
                </c:pt>
                <c:pt idx="23">
                  <c:v>Ingenieria de Datos II</c:v>
                </c:pt>
                <c:pt idx="24">
                  <c:v>Probabilidad y Estadistica</c:v>
                </c:pt>
                <c:pt idx="25">
                  <c:v>Examen de Ingles</c:v>
                </c:pt>
                <c:pt idx="26">
                  <c:v>Aplicaciones Interactivas</c:v>
                </c:pt>
                <c:pt idx="27">
                  <c:v>Ingenieria de Software</c:v>
                </c:pt>
                <c:pt idx="28">
                  <c:v>Fisica II</c:v>
                </c:pt>
                <c:pt idx="29">
                  <c:v>Teoria de la Computacion</c:v>
                </c:pt>
                <c:pt idx="30">
                  <c:v>Estadistica Avanzada</c:v>
                </c:pt>
                <c:pt idx="31">
                  <c:v>Desarrollo de Aplicaciones I</c:v>
                </c:pt>
                <c:pt idx="32">
                  <c:v>Direccion de Proyectos Informaticos</c:v>
                </c:pt>
                <c:pt idx="33">
                  <c:v>Ciencia de Datos</c:v>
                </c:pt>
                <c:pt idx="34">
                  <c:v>Seguridad e Integridad de la Informacion</c:v>
                </c:pt>
                <c:pt idx="35">
                  <c:v>Modelado y Simulacion</c:v>
                </c:pt>
                <c:pt idx="36">
                  <c:v>Desarrollo de Aplicaciones II</c:v>
                </c:pt>
                <c:pt idx="37">
                  <c:v>Evaluacion de Proyectos Informaticos</c:v>
                </c:pt>
                <c:pt idx="38">
                  <c:v>Inteligencia Artificial</c:v>
                </c:pt>
                <c:pt idx="39">
                  <c:v>Tecnologia y Medio Ambiente</c:v>
                </c:pt>
                <c:pt idx="40">
                  <c:v>Practica Profesional Supervisada</c:v>
                </c:pt>
                <c:pt idx="41">
                  <c:v>Optativa 1</c:v>
                </c:pt>
                <c:pt idx="42">
                  <c:v>Arquitectura de Aplicaciones</c:v>
                </c:pt>
                <c:pt idx="43">
                  <c:v>Tendencias Tecnologicas</c:v>
                </c:pt>
                <c:pt idx="44">
                  <c:v>Proyecto Final de Ingenieria en Informatica</c:v>
                </c:pt>
                <c:pt idx="45">
                  <c:v>Calidad de Software</c:v>
                </c:pt>
                <c:pt idx="46">
                  <c:v>Optativa 2</c:v>
                </c:pt>
                <c:pt idx="47">
                  <c:v>Negocios Tecnologicos</c:v>
                </c:pt>
                <c:pt idx="48">
                  <c:v>Tecnologia e Innovacion</c:v>
                </c:pt>
                <c:pt idx="49">
                  <c:v>Derecho Informatico</c:v>
                </c:pt>
                <c:pt idx="50">
                  <c:v>Optativa 3</c:v>
                </c:pt>
              </c:strCache>
            </c:strRef>
          </c:cat>
          <c:val>
            <c:numRef>
              <c:f>'cantidadInscriptosXMateria'!$B$2:$B$52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E-4211-AEEF-EBF495DDD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3551232"/>
        <c:axId val="1373552672"/>
      </c:barChart>
      <c:catAx>
        <c:axId val="137355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3552672"/>
        <c:crosses val="autoZero"/>
        <c:auto val="1"/>
        <c:lblAlgn val="ctr"/>
        <c:lblOffset val="100"/>
        <c:noMultiLvlLbl val="0"/>
      </c:catAx>
      <c:valAx>
        <c:axId val="137355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355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Porcentaje aprobación por materia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PorcentajeDeAprobacionXMateria!$A$2:$A$52</c:f>
              <c:strCache>
                <c:ptCount val="51"/>
                <c:pt idx="0">
                  <c:v>Teoria de Sistemas</c:v>
                </c:pt>
                <c:pt idx="1">
                  <c:v>Paradigma Orientado a Objetos</c:v>
                </c:pt>
                <c:pt idx="2">
                  <c:v>Proceso de Desarrollo de Software</c:v>
                </c:pt>
                <c:pt idx="3">
                  <c:v>Ingenieria de Datos II</c:v>
                </c:pt>
                <c:pt idx="4">
                  <c:v>Examen de Ingles</c:v>
                </c:pt>
                <c:pt idx="5">
                  <c:v>Aplicaciones Interactivas</c:v>
                </c:pt>
                <c:pt idx="6">
                  <c:v>Ingenieria de Software</c:v>
                </c:pt>
                <c:pt idx="7">
                  <c:v>Fundamentos de Informatica</c:v>
                </c:pt>
                <c:pt idx="8">
                  <c:v>Sistemas de Informacion I</c:v>
                </c:pt>
                <c:pt idx="9">
                  <c:v>Pensamiento Critico y Comunicacion</c:v>
                </c:pt>
                <c:pt idx="10">
                  <c:v>Elementos de Algebra y Geometria</c:v>
                </c:pt>
                <c:pt idx="11">
                  <c:v>Programacion I</c:v>
                </c:pt>
                <c:pt idx="12">
                  <c:v>Fundamentos de Telecomunicaciones</c:v>
                </c:pt>
                <c:pt idx="13">
                  <c:v>Teleinformatica y Redes</c:v>
                </c:pt>
                <c:pt idx="14">
                  <c:v>Estadistica Avanzada</c:v>
                </c:pt>
                <c:pt idx="15">
                  <c:v>Seguridad e Integridad de la Informacion</c:v>
                </c:pt>
                <c:pt idx="16">
                  <c:v>Desarrollo de Aplicaciones II</c:v>
                </c:pt>
                <c:pt idx="17">
                  <c:v>Evaluacion de Proyectos Informaticos</c:v>
                </c:pt>
                <c:pt idx="18">
                  <c:v>Inteligencia Artificial</c:v>
                </c:pt>
                <c:pt idx="19">
                  <c:v>Tecnologia y Medio Ambiente</c:v>
                </c:pt>
                <c:pt idx="20">
                  <c:v>Practica Profesional Supervisada</c:v>
                </c:pt>
                <c:pt idx="21">
                  <c:v>Optativa 1</c:v>
                </c:pt>
                <c:pt idx="22">
                  <c:v>Arquitectura de Aplicaciones</c:v>
                </c:pt>
                <c:pt idx="23">
                  <c:v>Tendencias Tecnologicas</c:v>
                </c:pt>
                <c:pt idx="24">
                  <c:v>Proyecto Final de Ingenieria en Informatica</c:v>
                </c:pt>
                <c:pt idx="25">
                  <c:v>Calidad de Software</c:v>
                </c:pt>
                <c:pt idx="26">
                  <c:v>Optativa 2</c:v>
                </c:pt>
                <c:pt idx="27">
                  <c:v>Negocios Tecnologicos</c:v>
                </c:pt>
                <c:pt idx="28">
                  <c:v>Tecnologia e Innovacion</c:v>
                </c:pt>
                <c:pt idx="29">
                  <c:v>Derecho Informatico</c:v>
                </c:pt>
                <c:pt idx="30">
                  <c:v>Optativa 3</c:v>
                </c:pt>
                <c:pt idx="31">
                  <c:v>Sistemas de Representacion</c:v>
                </c:pt>
                <c:pt idx="32">
                  <c:v>Matematica Discreta</c:v>
                </c:pt>
                <c:pt idx="33">
                  <c:v>Fundamentos de Quimica</c:v>
                </c:pt>
                <c:pt idx="34">
                  <c:v>Algebra</c:v>
                </c:pt>
                <c:pt idx="35">
                  <c:v>Programacion II</c:v>
                </c:pt>
                <c:pt idx="36">
                  <c:v>Sistemas de Informacion II</c:v>
                </c:pt>
                <c:pt idx="37">
                  <c:v>Sistemas Operativos</c:v>
                </c:pt>
                <c:pt idx="38">
                  <c:v>Fisica I</c:v>
                </c:pt>
                <c:pt idx="39">
                  <c:v>Calculo I</c:v>
                </c:pt>
                <c:pt idx="40">
                  <c:v>Programacion III</c:v>
                </c:pt>
                <c:pt idx="41">
                  <c:v>Ingenieria de Datos I</c:v>
                </c:pt>
                <c:pt idx="42">
                  <c:v>Calculo II</c:v>
                </c:pt>
                <c:pt idx="43">
                  <c:v>Seminario de Integracion Profesional</c:v>
                </c:pt>
                <c:pt idx="44">
                  <c:v>Probabilidad y Estadistica</c:v>
                </c:pt>
                <c:pt idx="45">
                  <c:v>Fisica II</c:v>
                </c:pt>
                <c:pt idx="46">
                  <c:v>Teoria de la Computacion</c:v>
                </c:pt>
                <c:pt idx="47">
                  <c:v>Desarrollo de Aplicaciones I</c:v>
                </c:pt>
                <c:pt idx="48">
                  <c:v>Direccion de Proyectos Informaticos</c:v>
                </c:pt>
                <c:pt idx="49">
                  <c:v>Ciencia de Datos</c:v>
                </c:pt>
                <c:pt idx="50">
                  <c:v>Modelado y Simulacion</c:v>
                </c:pt>
              </c:strCache>
            </c:strRef>
          </c:cat>
          <c:val>
            <c:numRef>
              <c:f>PorcentajeDeAprobacionXMateria!$B$2:$B$52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0.75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0.66666666666666663</c:v>
                </c:pt>
                <c:pt idx="11">
                  <c:v>0.5</c:v>
                </c:pt>
                <c:pt idx="12">
                  <c:v>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D-4648-98BA-2882A24A8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655504"/>
        <c:axId val="45661264"/>
      </c:barChart>
      <c:catAx>
        <c:axId val="4565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661264"/>
        <c:crosses val="autoZero"/>
        <c:auto val="1"/>
        <c:lblAlgn val="ctr"/>
        <c:lblOffset val="100"/>
        <c:noMultiLvlLbl val="0"/>
      </c:catAx>
      <c:valAx>
        <c:axId val="4566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65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Top 5 mejores flashcards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'rankingFlashcards'!$A$2:$A$6</c:f>
              <c:strCache>
                <c:ptCount val="5"/>
                <c:pt idx="0">
                  <c:v>¿Qué es un sistema de información?</c:v>
                </c:pt>
                <c:pt idx="1">
                  <c:v>Verdadero o falso. Las tuplas son inmutables?</c:v>
                </c:pt>
                <c:pt idx="2">
                  <c:v>¿Qué es una proyección ortogonal?</c:v>
                </c:pt>
                <c:pt idx="3">
                  <c:v>Formula para el oxido ferrico?</c:v>
                </c:pt>
                <c:pt idx="4">
                  <c:v>¿Qué es una matriz identidad?</c:v>
                </c:pt>
              </c:strCache>
            </c:strRef>
          </c:cat>
          <c:val>
            <c:numRef>
              <c:f>'rankingFlashcards'!$B$2:$B$6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9-4390-B38D-C8BBA7CAB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626224"/>
        <c:axId val="45643024"/>
      </c:barChart>
      <c:catAx>
        <c:axId val="4562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643024"/>
        <c:crosses val="autoZero"/>
        <c:auto val="1"/>
        <c:lblAlgn val="ctr"/>
        <c:lblOffset val="100"/>
        <c:noMultiLvlLbl val="0"/>
      </c:catAx>
      <c:valAx>
        <c:axId val="4564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62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Top 5 materias con más flashcards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'rankingMateriasFlashcards'!$A$2:$A$6</c:f>
              <c:strCache>
                <c:ptCount val="5"/>
                <c:pt idx="0">
                  <c:v>Fundamentos de Informatica</c:v>
                </c:pt>
                <c:pt idx="1">
                  <c:v>Programacion I</c:v>
                </c:pt>
                <c:pt idx="2">
                  <c:v>Sistemas Operativos</c:v>
                </c:pt>
                <c:pt idx="3">
                  <c:v>Sistemas de Informacion I</c:v>
                </c:pt>
                <c:pt idx="4">
                  <c:v>Pensamiento Critico y Comunicacion</c:v>
                </c:pt>
              </c:strCache>
            </c:strRef>
          </c:cat>
          <c:val>
            <c:numRef>
              <c:f>'rankingMateriasFlashcards'!$B$2:$B$6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4-4D71-9250-741441E0C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</xdr:row>
      <xdr:rowOff>33337</xdr:rowOff>
    </xdr:from>
    <xdr:to>
      <xdr:col>9</xdr:col>
      <xdr:colOff>9525</xdr:colOff>
      <xdr:row>18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B727B5-50C1-1495-435F-AF268EC07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4</xdr:row>
      <xdr:rowOff>33337</xdr:rowOff>
    </xdr:from>
    <xdr:to>
      <xdr:col>12</xdr:col>
      <xdr:colOff>600075</xdr:colOff>
      <xdr:row>18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22C3F3-4405-4746-7D60-80B904072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</xdr:row>
      <xdr:rowOff>52387</xdr:rowOff>
    </xdr:from>
    <xdr:to>
      <xdr:col>10</xdr:col>
      <xdr:colOff>390525</xdr:colOff>
      <xdr:row>16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D8EBBE-3084-F069-BD27-DF69205A3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185737</xdr:colOff>
      <xdr:row>1</xdr:row>
      <xdr:rowOff>61912</xdr:rowOff>
    </xdr:from>
    <xdr:to>
      <xdr:col>9</xdr:col>
      <xdr:colOff>185737</xdr:colOff>
      <xdr:row>15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76A38E-8F21-32BB-C111-0834833CD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</xdr:colOff>
      <xdr:row>1</xdr:row>
      <xdr:rowOff>33337</xdr:rowOff>
    </xdr:from>
    <xdr:to>
      <xdr:col>9</xdr:col>
      <xdr:colOff>52387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F8E4F5-F621-2B00-8080-8B3C009D4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7E78CE-9F32-40BC-862C-DA8F403859F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BE83966-BA81-483A-AD52-636923C07B9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87AD6029-1D6A-4AFE-9FE9-E6FC47451E83}" autoFormatId="16" applyNumberFormats="0" applyBorderFormats="0" applyFontFormats="0" applyPatternFormats="0" applyAlignmentFormats="0" applyWidthHeightFormats="0">
  <queryTableRefresh nextId="6">
    <queryTableFields count="4">
      <queryTableField id="1" name="materia" tableColumnId="1"/>
      <queryTableField id="4" dataBound="0" tableColumnId="4"/>
      <queryTableField id="2" name="aprobados" tableColumnId="2"/>
      <queryTableField id="3" name="total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778864B8-5F6F-45EC-90BA-D8FBB22E1B12}" autoFormatId="16" applyNumberFormats="0" applyBorderFormats="0" applyFontFormats="0" applyPatternFormats="0" applyAlignmentFormats="0" applyWidthHeightFormats="0">
  <queryTableRefresh nextId="5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21F17AB1-2342-4E62-8170-5905337F551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F1754-818D-4445-9BCE-9A7D62BB8DD5}" name="cantEstudiantesUsanPack5Materias" displayName="cantEstudiantesUsanPack5Materias" ref="A1:B3" tableType="queryTable" totalsRowShown="0">
  <autoFilter ref="A1:B3" xr:uid="{074F1754-818D-4445-9BCE-9A7D62BB8DD5}"/>
  <tableColumns count="2">
    <tableColumn id="1" xr3:uid="{A5EA45FB-3E70-4AA6-9F8C-52FBC7714F64}" uniqueName="1" name="Column1" queryTableFieldId="1" dataDxfId="6"/>
    <tableColumn id="2" xr3:uid="{4AA39BD8-A7E0-406D-96F4-9C4F9F47BD7F}" uniqueName="2" name="Column2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343535-F12F-4DF8-B79B-EE3729E98776}" name="cantidadInscriptosXMateria" displayName="cantidadInscriptosXMateria" ref="A1:B53" tableType="queryTable" totalsRowShown="0">
  <autoFilter ref="A1:B53" xr:uid="{05343535-F12F-4DF8-B79B-EE3729E98776}"/>
  <tableColumns count="2">
    <tableColumn id="1" xr3:uid="{4C727C2F-B72F-456D-9506-650232BC9137}" uniqueName="1" name="Column1" queryTableFieldId="1" dataDxfId="5"/>
    <tableColumn id="2" xr3:uid="{AFFCE5EC-CEDE-4300-86E8-BF5BA37416B5}" uniqueName="2" name="Column2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64ED9D-4462-4AA5-B683-D38CD5E526A7}" name="PorcentajeDeAprobacionXMateria" displayName="PorcentajeDeAprobacionXMateria" ref="A1:D52" tableType="queryTable" totalsRowShown="0">
  <autoFilter ref="A1:D52" xr:uid="{F564ED9D-4462-4AA5-B683-D38CD5E526A7}"/>
  <sortState xmlns:xlrd2="http://schemas.microsoft.com/office/spreadsheetml/2017/richdata2" ref="A2:D52">
    <sortCondition descending="1" ref="B1:B52"/>
  </sortState>
  <tableColumns count="4">
    <tableColumn id="1" xr3:uid="{0484A69C-7C58-449F-8321-EFC05CEDAD28}" uniqueName="1" name="materia" queryTableFieldId="1" dataDxfId="4"/>
    <tableColumn id="4" xr3:uid="{C80E97AB-2F8E-43F4-9EFE-670454E4AB0E}" uniqueName="4" name="Porcentaje" queryTableFieldId="4" dataDxfId="1">
      <calculatedColumnFormula>IF(PorcentajeDeAprobacionXMateria[[#This Row],[total]]=0,0,PorcentajeDeAprobacionXMateria[[#This Row],[aprobados]]/PorcentajeDeAprobacionXMateria[[#This Row],[total]])</calculatedColumnFormula>
    </tableColumn>
    <tableColumn id="2" xr3:uid="{C211C872-4CE7-479F-9FB3-1BF86243D0F6}" uniqueName="2" name="aprobados" queryTableFieldId="2"/>
    <tableColumn id="3" xr3:uid="{C2446A40-1EA4-4BE1-88AD-5B6E0BCE6555}" uniqueName="3" name="total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647148-1308-4608-819D-2D27F8B99096}" name="rankingFlashcards" displayName="rankingFlashcards" ref="A1:C55" tableType="queryTable" totalsRowShown="0">
  <autoFilter ref="A1:C55" xr:uid="{C3647148-1308-4608-819D-2D27F8B99096}"/>
  <sortState xmlns:xlrd2="http://schemas.microsoft.com/office/spreadsheetml/2017/richdata2" ref="A2:C55">
    <sortCondition descending="1" ref="B1:B55"/>
  </sortState>
  <tableColumns count="3">
    <tableColumn id="1" xr3:uid="{938BB567-CC66-4964-AD49-0EF5E0D452A5}" uniqueName="1" name="Column1" queryTableFieldId="1" dataDxfId="3"/>
    <tableColumn id="3" xr3:uid="{3FF85C97-A77A-462A-AB06-EA9B0500966F}" uniqueName="3" name="PorcentajeReal" queryTableFieldId="3" dataDxfId="0">
      <calculatedColumnFormula>rankingFlashcards[[#This Row],[Column2]]/100</calculatedColumnFormula>
    </tableColumn>
    <tableColumn id="2" xr3:uid="{5E4616CC-2F13-44FD-9483-DD8EFBE981F9}" uniqueName="2" name="Column2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E54569-F2F9-4E88-924C-C8BA9980F4A7}" name="rankingMateriasFlashcards" displayName="rankingMateriasFlashcards" ref="A1:B52" tableType="queryTable" totalsRowShown="0">
  <autoFilter ref="A1:B52" xr:uid="{21E54569-F2F9-4E88-924C-C8BA9980F4A7}"/>
  <sortState xmlns:xlrd2="http://schemas.microsoft.com/office/spreadsheetml/2017/richdata2" ref="A2:B52">
    <sortCondition descending="1" ref="B1:B52"/>
  </sortState>
  <tableColumns count="2">
    <tableColumn id="1" xr3:uid="{2DC168C5-0530-43FD-A6F4-0CEED18A79FD}" uniqueName="1" name="Column1" queryTableFieldId="1" dataDxfId="2"/>
    <tableColumn id="2" xr3:uid="{EC5291FD-8E4B-44E6-BFCF-3EDE77877938}" uniqueName="2" name="Column2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A2CB-BA68-4AAE-90A1-F976C4F19BC0}">
  <dimension ref="A1:B3"/>
  <sheetViews>
    <sheetView workbookViewId="0">
      <selection activeCell="L11" sqref="L11"/>
    </sheetView>
  </sheetViews>
  <sheetFormatPr baseColWidth="10" defaultRowHeight="15" x14ac:dyDescent="0.25"/>
  <cols>
    <col min="1" max="1" width="37.1406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AF9C-2F12-4EA5-BE4E-9DD0161BB207}">
  <dimension ref="A1:B53"/>
  <sheetViews>
    <sheetView workbookViewId="0">
      <selection activeCell="D3" sqref="D3"/>
    </sheetView>
  </sheetViews>
  <sheetFormatPr baseColWidth="10" defaultRowHeight="15" x14ac:dyDescent="0.25"/>
  <cols>
    <col min="1" max="1" width="39.710937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5</v>
      </c>
      <c r="B3">
        <v>2</v>
      </c>
    </row>
    <row r="4" spans="1:2" x14ac:dyDescent="0.25">
      <c r="A4" t="s">
        <v>6</v>
      </c>
      <c r="B4">
        <v>2</v>
      </c>
    </row>
    <row r="5" spans="1:2" x14ac:dyDescent="0.25">
      <c r="A5" t="s">
        <v>7</v>
      </c>
      <c r="B5">
        <v>1</v>
      </c>
    </row>
    <row r="6" spans="1:2" x14ac:dyDescent="0.25">
      <c r="A6" t="s">
        <v>8</v>
      </c>
      <c r="B6">
        <v>2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17</v>
      </c>
      <c r="B15">
        <v>0</v>
      </c>
    </row>
    <row r="16" spans="1:2" x14ac:dyDescent="0.25">
      <c r="A16" t="s">
        <v>18</v>
      </c>
      <c r="B16">
        <v>0</v>
      </c>
    </row>
    <row r="17" spans="1:2" x14ac:dyDescent="0.25">
      <c r="A17" t="s">
        <v>19</v>
      </c>
      <c r="B17">
        <v>0</v>
      </c>
    </row>
    <row r="18" spans="1:2" x14ac:dyDescent="0.25">
      <c r="A18" t="s">
        <v>20</v>
      </c>
      <c r="B18">
        <v>0</v>
      </c>
    </row>
    <row r="19" spans="1:2" x14ac:dyDescent="0.25">
      <c r="A19" t="s">
        <v>21</v>
      </c>
      <c r="B19">
        <v>0</v>
      </c>
    </row>
    <row r="20" spans="1:2" x14ac:dyDescent="0.25">
      <c r="A20" t="s">
        <v>22</v>
      </c>
      <c r="B20">
        <v>0</v>
      </c>
    </row>
    <row r="21" spans="1:2" x14ac:dyDescent="0.25">
      <c r="A21" t="s">
        <v>23</v>
      </c>
      <c r="B21">
        <v>0</v>
      </c>
    </row>
    <row r="22" spans="1:2" x14ac:dyDescent="0.25">
      <c r="A22" t="s">
        <v>24</v>
      </c>
      <c r="B22">
        <v>0</v>
      </c>
    </row>
    <row r="23" spans="1:2" x14ac:dyDescent="0.25">
      <c r="A23" t="s">
        <v>25</v>
      </c>
      <c r="B23">
        <v>0</v>
      </c>
    </row>
    <row r="24" spans="1:2" x14ac:dyDescent="0.25">
      <c r="A24" t="s">
        <v>26</v>
      </c>
      <c r="B24">
        <v>0</v>
      </c>
    </row>
    <row r="25" spans="1:2" x14ac:dyDescent="0.25">
      <c r="A25" t="s">
        <v>27</v>
      </c>
      <c r="B25">
        <v>0</v>
      </c>
    </row>
    <row r="26" spans="1:2" x14ac:dyDescent="0.25">
      <c r="A26" t="s">
        <v>28</v>
      </c>
      <c r="B26">
        <v>0</v>
      </c>
    </row>
    <row r="27" spans="1:2" x14ac:dyDescent="0.25">
      <c r="A27" t="s">
        <v>29</v>
      </c>
      <c r="B27">
        <v>0</v>
      </c>
    </row>
    <row r="28" spans="1:2" x14ac:dyDescent="0.25">
      <c r="A28" t="s">
        <v>30</v>
      </c>
      <c r="B28">
        <v>0</v>
      </c>
    </row>
    <row r="29" spans="1:2" x14ac:dyDescent="0.25">
      <c r="A29" t="s">
        <v>31</v>
      </c>
      <c r="B29">
        <v>0</v>
      </c>
    </row>
    <row r="30" spans="1:2" x14ac:dyDescent="0.25">
      <c r="A30" t="s">
        <v>32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34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0</v>
      </c>
    </row>
    <row r="38" spans="1:2" x14ac:dyDescent="0.25">
      <c r="A38" t="s">
        <v>40</v>
      </c>
      <c r="B38">
        <v>0</v>
      </c>
    </row>
    <row r="39" spans="1:2" x14ac:dyDescent="0.25">
      <c r="A39" t="s">
        <v>41</v>
      </c>
      <c r="B39">
        <v>0</v>
      </c>
    </row>
    <row r="40" spans="1:2" x14ac:dyDescent="0.25">
      <c r="A40" t="s">
        <v>42</v>
      </c>
      <c r="B40">
        <v>0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0</v>
      </c>
    </row>
    <row r="43" spans="1:2" x14ac:dyDescent="0.25">
      <c r="A43" t="s">
        <v>45</v>
      </c>
      <c r="B43">
        <v>0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0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0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CB49-A04B-45A6-B770-97B4E79FE6DA}">
  <dimension ref="A1:D52"/>
  <sheetViews>
    <sheetView workbookViewId="0">
      <selection activeCell="H21" sqref="H21"/>
    </sheetView>
  </sheetViews>
  <sheetFormatPr baseColWidth="10" defaultRowHeight="15" x14ac:dyDescent="0.25"/>
  <cols>
    <col min="1" max="1" width="39.7109375" bestFit="1" customWidth="1"/>
    <col min="2" max="2" width="12.5703125" bestFit="1" customWidth="1"/>
    <col min="3" max="3" width="7.42578125" bestFit="1" customWidth="1"/>
  </cols>
  <sheetData>
    <row r="1" spans="1:4" x14ac:dyDescent="0.25">
      <c r="A1" t="s">
        <v>56</v>
      </c>
      <c r="B1" t="s">
        <v>113</v>
      </c>
      <c r="C1" t="s">
        <v>57</v>
      </c>
      <c r="D1" t="s">
        <v>58</v>
      </c>
    </row>
    <row r="2" spans="1:4" x14ac:dyDescent="0.25">
      <c r="A2" t="s">
        <v>7</v>
      </c>
      <c r="B2">
        <f>IF(PorcentajeDeAprobacionXMateria[[#This Row],[total]]=0,0,PorcentajeDeAprobacionXMateria[[#This Row],[aprobados]]/PorcentajeDeAprobacionXMateria[[#This Row],[total]])</f>
        <v>1</v>
      </c>
      <c r="C2">
        <v>3</v>
      </c>
      <c r="D2">
        <v>3</v>
      </c>
    </row>
    <row r="3" spans="1:4" x14ac:dyDescent="0.25">
      <c r="A3" t="s">
        <v>20</v>
      </c>
      <c r="B3">
        <f>IF(PorcentajeDeAprobacionXMateria[[#This Row],[total]]=0,0,PorcentajeDeAprobacionXMateria[[#This Row],[aprobados]]/PorcentajeDeAprobacionXMateria[[#This Row],[total]])</f>
        <v>1</v>
      </c>
      <c r="C3">
        <v>2</v>
      </c>
      <c r="D3">
        <v>2</v>
      </c>
    </row>
    <row r="4" spans="1:4" x14ac:dyDescent="0.25">
      <c r="A4" t="s">
        <v>24</v>
      </c>
      <c r="B4">
        <f>IF(PorcentajeDeAprobacionXMateria[[#This Row],[total]]=0,0,PorcentajeDeAprobacionXMateria[[#This Row],[aprobados]]/PorcentajeDeAprobacionXMateria[[#This Row],[total]])</f>
        <v>1</v>
      </c>
      <c r="C4">
        <v>1</v>
      </c>
      <c r="D4">
        <v>1</v>
      </c>
    </row>
    <row r="5" spans="1:4" x14ac:dyDescent="0.25">
      <c r="A5" t="s">
        <v>27</v>
      </c>
      <c r="B5">
        <f>IF(PorcentajeDeAprobacionXMateria[[#This Row],[total]]=0,0,PorcentajeDeAprobacionXMateria[[#This Row],[aprobados]]/PorcentajeDeAprobacionXMateria[[#This Row],[total]])</f>
        <v>1</v>
      </c>
      <c r="C5">
        <v>1</v>
      </c>
      <c r="D5">
        <v>1</v>
      </c>
    </row>
    <row r="6" spans="1:4" x14ac:dyDescent="0.25">
      <c r="A6" t="s">
        <v>29</v>
      </c>
      <c r="B6">
        <f>IF(PorcentajeDeAprobacionXMateria[[#This Row],[total]]=0,0,PorcentajeDeAprobacionXMateria[[#This Row],[aprobados]]/PorcentajeDeAprobacionXMateria[[#This Row],[total]])</f>
        <v>1</v>
      </c>
      <c r="C6">
        <v>1</v>
      </c>
      <c r="D6">
        <v>1</v>
      </c>
    </row>
    <row r="7" spans="1:4" x14ac:dyDescent="0.25">
      <c r="A7" t="s">
        <v>30</v>
      </c>
      <c r="B7">
        <f>IF(PorcentajeDeAprobacionXMateria[[#This Row],[total]]=0,0,PorcentajeDeAprobacionXMateria[[#This Row],[aprobados]]/PorcentajeDeAprobacionXMateria[[#This Row],[total]])</f>
        <v>1</v>
      </c>
      <c r="C7">
        <v>1</v>
      </c>
      <c r="D7">
        <v>1</v>
      </c>
    </row>
    <row r="8" spans="1:4" x14ac:dyDescent="0.25">
      <c r="A8" t="s">
        <v>31</v>
      </c>
      <c r="B8">
        <f>IF(PorcentajeDeAprobacionXMateria[[#This Row],[total]]=0,0,PorcentajeDeAprobacionXMateria[[#This Row],[aprobados]]/PorcentajeDeAprobacionXMateria[[#This Row],[total]])</f>
        <v>1</v>
      </c>
      <c r="C8">
        <v>1</v>
      </c>
      <c r="D8">
        <v>1</v>
      </c>
    </row>
    <row r="9" spans="1:4" x14ac:dyDescent="0.25">
      <c r="A9" t="s">
        <v>4</v>
      </c>
      <c r="B9">
        <f>IF(PorcentajeDeAprobacionXMateria[[#This Row],[total]]=0,0,PorcentajeDeAprobacionXMateria[[#This Row],[aprobados]]/PorcentajeDeAprobacionXMateria[[#This Row],[total]])</f>
        <v>0.75</v>
      </c>
      <c r="C9">
        <v>3</v>
      </c>
      <c r="D9">
        <v>4</v>
      </c>
    </row>
    <row r="10" spans="1:4" x14ac:dyDescent="0.25">
      <c r="A10" t="s">
        <v>5</v>
      </c>
      <c r="B10">
        <f>IF(PorcentajeDeAprobacionXMateria[[#This Row],[total]]=0,0,PorcentajeDeAprobacionXMateria[[#This Row],[aprobados]]/PorcentajeDeAprobacionXMateria[[#This Row],[total]])</f>
        <v>0.66666666666666663</v>
      </c>
      <c r="C10">
        <v>2</v>
      </c>
      <c r="D10">
        <v>3</v>
      </c>
    </row>
    <row r="11" spans="1:4" x14ac:dyDescent="0.25">
      <c r="A11" t="s">
        <v>6</v>
      </c>
      <c r="B11">
        <f>IF(PorcentajeDeAprobacionXMateria[[#This Row],[total]]=0,0,PorcentajeDeAprobacionXMateria[[#This Row],[aprobados]]/PorcentajeDeAprobacionXMateria[[#This Row],[total]])</f>
        <v>0.66666666666666663</v>
      </c>
      <c r="C11">
        <v>2</v>
      </c>
      <c r="D11">
        <v>3</v>
      </c>
    </row>
    <row r="12" spans="1:4" x14ac:dyDescent="0.25">
      <c r="A12" t="s">
        <v>8</v>
      </c>
      <c r="B12">
        <f>IF(PorcentajeDeAprobacionXMateria[[#This Row],[total]]=0,0,PorcentajeDeAprobacionXMateria[[#This Row],[aprobados]]/PorcentajeDeAprobacionXMateria[[#This Row],[total]])</f>
        <v>0.66666666666666663</v>
      </c>
      <c r="C12">
        <v>2</v>
      </c>
      <c r="D12">
        <v>3</v>
      </c>
    </row>
    <row r="13" spans="1:4" x14ac:dyDescent="0.25">
      <c r="A13" t="s">
        <v>9</v>
      </c>
      <c r="B13">
        <f>IF(PorcentajeDeAprobacionXMateria[[#This Row],[total]]=0,0,PorcentajeDeAprobacionXMateria[[#This Row],[aprobados]]/PorcentajeDeAprobacionXMateria[[#This Row],[total]])</f>
        <v>0.5</v>
      </c>
      <c r="C13">
        <v>1</v>
      </c>
      <c r="D13">
        <v>2</v>
      </c>
    </row>
    <row r="14" spans="1:4" x14ac:dyDescent="0.25">
      <c r="A14" t="s">
        <v>21</v>
      </c>
      <c r="B14">
        <f>IF(PorcentajeDeAprobacionXMateria[[#This Row],[total]]=0,0,PorcentajeDeAprobacionXMateria[[#This Row],[aprobados]]/PorcentajeDeAprobacionXMateria[[#This Row],[total]])</f>
        <v>0.5</v>
      </c>
      <c r="C14">
        <v>1</v>
      </c>
      <c r="D14">
        <v>2</v>
      </c>
    </row>
    <row r="15" spans="1:4" x14ac:dyDescent="0.25">
      <c r="A15" t="s">
        <v>26</v>
      </c>
      <c r="B15">
        <f>IF(PorcentajeDeAprobacionXMateria[[#This Row],[total]]=0,0,PorcentajeDeAprobacionXMateria[[#This Row],[aprobados]]/PorcentajeDeAprobacionXMateria[[#This Row],[total]])</f>
        <v>0</v>
      </c>
      <c r="C15">
        <v>0</v>
      </c>
      <c r="D15">
        <v>0</v>
      </c>
    </row>
    <row r="16" spans="1:4" x14ac:dyDescent="0.25">
      <c r="A16" t="s">
        <v>34</v>
      </c>
      <c r="B16">
        <f>IF(PorcentajeDeAprobacionXMateria[[#This Row],[total]]=0,0,PorcentajeDeAprobacionXMateria[[#This Row],[aprobados]]/PorcentajeDeAprobacionXMateria[[#This Row],[total]])</f>
        <v>0</v>
      </c>
      <c r="C16">
        <v>0</v>
      </c>
      <c r="D16">
        <v>0</v>
      </c>
    </row>
    <row r="17" spans="1:4" x14ac:dyDescent="0.25">
      <c r="A17" t="s">
        <v>38</v>
      </c>
      <c r="B17">
        <f>IF(PorcentajeDeAprobacionXMateria[[#This Row],[total]]=0,0,PorcentajeDeAprobacionXMateria[[#This Row],[aprobados]]/PorcentajeDeAprobacionXMateria[[#This Row],[total]])</f>
        <v>0</v>
      </c>
      <c r="C17">
        <v>0</v>
      </c>
      <c r="D17">
        <v>0</v>
      </c>
    </row>
    <row r="18" spans="1:4" x14ac:dyDescent="0.25">
      <c r="A18" t="s">
        <v>40</v>
      </c>
      <c r="B18">
        <f>IF(PorcentajeDeAprobacionXMateria[[#This Row],[total]]=0,0,PorcentajeDeAprobacionXMateria[[#This Row],[aprobados]]/PorcentajeDeAprobacionXMateria[[#This Row],[total]])</f>
        <v>0</v>
      </c>
      <c r="C18">
        <v>0</v>
      </c>
      <c r="D18">
        <v>0</v>
      </c>
    </row>
    <row r="19" spans="1:4" x14ac:dyDescent="0.25">
      <c r="A19" t="s">
        <v>41</v>
      </c>
      <c r="B19">
        <f>IF(PorcentajeDeAprobacionXMateria[[#This Row],[total]]=0,0,PorcentajeDeAprobacionXMateria[[#This Row],[aprobados]]/PorcentajeDeAprobacionXMateria[[#This Row],[total]])</f>
        <v>0</v>
      </c>
      <c r="C19">
        <v>0</v>
      </c>
      <c r="D19">
        <v>0</v>
      </c>
    </row>
    <row r="20" spans="1:4" x14ac:dyDescent="0.25">
      <c r="A20" t="s">
        <v>42</v>
      </c>
      <c r="B20">
        <f>IF(PorcentajeDeAprobacionXMateria[[#This Row],[total]]=0,0,PorcentajeDeAprobacionXMateria[[#This Row],[aprobados]]/PorcentajeDeAprobacionXMateria[[#This Row],[total]])</f>
        <v>0</v>
      </c>
      <c r="C20">
        <v>0</v>
      </c>
      <c r="D20">
        <v>0</v>
      </c>
    </row>
    <row r="21" spans="1:4" x14ac:dyDescent="0.25">
      <c r="A21" t="s">
        <v>43</v>
      </c>
      <c r="B21">
        <f>IF(PorcentajeDeAprobacionXMateria[[#This Row],[total]]=0,0,PorcentajeDeAprobacionXMateria[[#This Row],[aprobados]]/PorcentajeDeAprobacionXMateria[[#This Row],[total]])</f>
        <v>0</v>
      </c>
      <c r="C21">
        <v>0</v>
      </c>
      <c r="D21">
        <v>0</v>
      </c>
    </row>
    <row r="22" spans="1:4" x14ac:dyDescent="0.25">
      <c r="A22" t="s">
        <v>44</v>
      </c>
      <c r="B22">
        <f>IF(PorcentajeDeAprobacionXMateria[[#This Row],[total]]=0,0,PorcentajeDeAprobacionXMateria[[#This Row],[aprobados]]/PorcentajeDeAprobacionXMateria[[#This Row],[total]])</f>
        <v>0</v>
      </c>
      <c r="C22">
        <v>0</v>
      </c>
      <c r="D22">
        <v>0</v>
      </c>
    </row>
    <row r="23" spans="1:4" x14ac:dyDescent="0.25">
      <c r="A23" t="s">
        <v>45</v>
      </c>
      <c r="B23">
        <f>IF(PorcentajeDeAprobacionXMateria[[#This Row],[total]]=0,0,PorcentajeDeAprobacionXMateria[[#This Row],[aprobados]]/PorcentajeDeAprobacionXMateria[[#This Row],[total]])</f>
        <v>0</v>
      </c>
      <c r="C23">
        <v>0</v>
      </c>
      <c r="D23">
        <v>0</v>
      </c>
    </row>
    <row r="24" spans="1:4" x14ac:dyDescent="0.25">
      <c r="A24" t="s">
        <v>46</v>
      </c>
      <c r="B24">
        <f>IF(PorcentajeDeAprobacionXMateria[[#This Row],[total]]=0,0,PorcentajeDeAprobacionXMateria[[#This Row],[aprobados]]/PorcentajeDeAprobacionXMateria[[#This Row],[total]])</f>
        <v>0</v>
      </c>
      <c r="C24">
        <v>0</v>
      </c>
      <c r="D24">
        <v>0</v>
      </c>
    </row>
    <row r="25" spans="1:4" x14ac:dyDescent="0.25">
      <c r="A25" t="s">
        <v>47</v>
      </c>
      <c r="B25">
        <f>IF(PorcentajeDeAprobacionXMateria[[#This Row],[total]]=0,0,PorcentajeDeAprobacionXMateria[[#This Row],[aprobados]]/PorcentajeDeAprobacionXMateria[[#This Row],[total]])</f>
        <v>0</v>
      </c>
      <c r="C25">
        <v>0</v>
      </c>
      <c r="D25">
        <v>0</v>
      </c>
    </row>
    <row r="26" spans="1:4" x14ac:dyDescent="0.25">
      <c r="A26" t="s">
        <v>48</v>
      </c>
      <c r="B26">
        <f>IF(PorcentajeDeAprobacionXMateria[[#This Row],[total]]=0,0,PorcentajeDeAprobacionXMateria[[#This Row],[aprobados]]/PorcentajeDeAprobacionXMateria[[#This Row],[total]])</f>
        <v>0</v>
      </c>
      <c r="C26">
        <v>0</v>
      </c>
      <c r="D26">
        <v>0</v>
      </c>
    </row>
    <row r="27" spans="1:4" x14ac:dyDescent="0.25">
      <c r="A27" t="s">
        <v>49</v>
      </c>
      <c r="B27">
        <f>IF(PorcentajeDeAprobacionXMateria[[#This Row],[total]]=0,0,PorcentajeDeAprobacionXMateria[[#This Row],[aprobados]]/PorcentajeDeAprobacionXMateria[[#This Row],[total]])</f>
        <v>0</v>
      </c>
      <c r="C27">
        <v>0</v>
      </c>
      <c r="D27">
        <v>0</v>
      </c>
    </row>
    <row r="28" spans="1:4" x14ac:dyDescent="0.25">
      <c r="A28" t="s">
        <v>50</v>
      </c>
      <c r="B28">
        <f>IF(PorcentajeDeAprobacionXMateria[[#This Row],[total]]=0,0,PorcentajeDeAprobacionXMateria[[#This Row],[aprobados]]/PorcentajeDeAprobacionXMateria[[#This Row],[total]])</f>
        <v>0</v>
      </c>
      <c r="C28">
        <v>0</v>
      </c>
      <c r="D28">
        <v>0</v>
      </c>
    </row>
    <row r="29" spans="1:4" x14ac:dyDescent="0.25">
      <c r="A29" t="s">
        <v>51</v>
      </c>
      <c r="B29">
        <f>IF(PorcentajeDeAprobacionXMateria[[#This Row],[total]]=0,0,PorcentajeDeAprobacionXMateria[[#This Row],[aprobados]]/PorcentajeDeAprobacionXMateria[[#This Row],[total]])</f>
        <v>0</v>
      </c>
      <c r="C29">
        <v>0</v>
      </c>
      <c r="D29">
        <v>0</v>
      </c>
    </row>
    <row r="30" spans="1:4" x14ac:dyDescent="0.25">
      <c r="A30" t="s">
        <v>52</v>
      </c>
      <c r="B30">
        <f>IF(PorcentajeDeAprobacionXMateria[[#This Row],[total]]=0,0,PorcentajeDeAprobacionXMateria[[#This Row],[aprobados]]/PorcentajeDeAprobacionXMateria[[#This Row],[total]])</f>
        <v>0</v>
      </c>
      <c r="C30">
        <v>0</v>
      </c>
      <c r="D30">
        <v>0</v>
      </c>
    </row>
    <row r="31" spans="1:4" x14ac:dyDescent="0.25">
      <c r="A31" t="s">
        <v>53</v>
      </c>
      <c r="B31">
        <f>IF(PorcentajeDeAprobacionXMateria[[#This Row],[total]]=0,0,PorcentajeDeAprobacionXMateria[[#This Row],[aprobados]]/PorcentajeDeAprobacionXMateria[[#This Row],[total]])</f>
        <v>0</v>
      </c>
      <c r="C31">
        <v>0</v>
      </c>
      <c r="D31">
        <v>0</v>
      </c>
    </row>
    <row r="32" spans="1:4" x14ac:dyDescent="0.25">
      <c r="A32" t="s">
        <v>54</v>
      </c>
      <c r="B32">
        <f>IF(PorcentajeDeAprobacionXMateria[[#This Row],[total]]=0,0,PorcentajeDeAprobacionXMateria[[#This Row],[aprobados]]/PorcentajeDeAprobacionXMateria[[#This Row],[total]])</f>
        <v>0</v>
      </c>
      <c r="C32">
        <v>0</v>
      </c>
      <c r="D32">
        <v>0</v>
      </c>
    </row>
    <row r="33" spans="1:4" x14ac:dyDescent="0.25">
      <c r="A33" t="s">
        <v>10</v>
      </c>
      <c r="B33">
        <f>IF(PorcentajeDeAprobacionXMateria[[#This Row],[total]]=0,0,PorcentajeDeAprobacionXMateria[[#This Row],[aprobados]]/PorcentajeDeAprobacionXMateria[[#This Row],[total]])</f>
        <v>0</v>
      </c>
      <c r="C33">
        <v>0</v>
      </c>
      <c r="D33">
        <v>2</v>
      </c>
    </row>
    <row r="34" spans="1:4" x14ac:dyDescent="0.25">
      <c r="A34" t="s">
        <v>11</v>
      </c>
      <c r="B34">
        <f>IF(PorcentajeDeAprobacionXMateria[[#This Row],[total]]=0,0,PorcentajeDeAprobacionXMateria[[#This Row],[aprobados]]/PorcentajeDeAprobacionXMateria[[#This Row],[total]])</f>
        <v>0</v>
      </c>
      <c r="C34">
        <v>0</v>
      </c>
      <c r="D34">
        <v>2</v>
      </c>
    </row>
    <row r="35" spans="1:4" x14ac:dyDescent="0.25">
      <c r="A35" t="s">
        <v>12</v>
      </c>
      <c r="B35">
        <f>IF(PorcentajeDeAprobacionXMateria[[#This Row],[total]]=0,0,PorcentajeDeAprobacionXMateria[[#This Row],[aprobados]]/PorcentajeDeAprobacionXMateria[[#This Row],[total]])</f>
        <v>0</v>
      </c>
      <c r="C35">
        <v>0</v>
      </c>
      <c r="D35">
        <v>3</v>
      </c>
    </row>
    <row r="36" spans="1:4" x14ac:dyDescent="0.25">
      <c r="A36" t="s">
        <v>13</v>
      </c>
      <c r="B36">
        <f>IF(PorcentajeDeAprobacionXMateria[[#This Row],[total]]=0,0,PorcentajeDeAprobacionXMateria[[#This Row],[aprobados]]/PorcentajeDeAprobacionXMateria[[#This Row],[total]])</f>
        <v>0</v>
      </c>
      <c r="C36">
        <v>0</v>
      </c>
      <c r="D36">
        <v>1</v>
      </c>
    </row>
    <row r="37" spans="1:4" x14ac:dyDescent="0.25">
      <c r="A37" t="s">
        <v>14</v>
      </c>
      <c r="B37">
        <f>IF(PorcentajeDeAprobacionXMateria[[#This Row],[total]]=0,0,PorcentajeDeAprobacionXMateria[[#This Row],[aprobados]]/PorcentajeDeAprobacionXMateria[[#This Row],[total]])</f>
        <v>0</v>
      </c>
      <c r="C37">
        <v>0</v>
      </c>
      <c r="D37">
        <v>1</v>
      </c>
    </row>
    <row r="38" spans="1:4" x14ac:dyDescent="0.25">
      <c r="A38" t="s">
        <v>15</v>
      </c>
      <c r="B38">
        <f>IF(PorcentajeDeAprobacionXMateria[[#This Row],[total]]=0,0,PorcentajeDeAprobacionXMateria[[#This Row],[aprobados]]/PorcentajeDeAprobacionXMateria[[#This Row],[total]])</f>
        <v>0</v>
      </c>
      <c r="C38">
        <v>0</v>
      </c>
      <c r="D38">
        <v>2</v>
      </c>
    </row>
    <row r="39" spans="1:4" x14ac:dyDescent="0.25">
      <c r="A39" t="s">
        <v>16</v>
      </c>
      <c r="B39">
        <f>IF(PorcentajeDeAprobacionXMateria[[#This Row],[total]]=0,0,PorcentajeDeAprobacionXMateria[[#This Row],[aprobados]]/PorcentajeDeAprobacionXMateria[[#This Row],[total]])</f>
        <v>0</v>
      </c>
      <c r="C39">
        <v>0</v>
      </c>
      <c r="D39">
        <v>2</v>
      </c>
    </row>
    <row r="40" spans="1:4" x14ac:dyDescent="0.25">
      <c r="A40" t="s">
        <v>17</v>
      </c>
      <c r="B40">
        <f>IF(PorcentajeDeAprobacionXMateria[[#This Row],[total]]=0,0,PorcentajeDeAprobacionXMateria[[#This Row],[aprobados]]/PorcentajeDeAprobacionXMateria[[#This Row],[total]])</f>
        <v>0</v>
      </c>
      <c r="C40">
        <v>0</v>
      </c>
      <c r="D40">
        <v>2</v>
      </c>
    </row>
    <row r="41" spans="1:4" x14ac:dyDescent="0.25">
      <c r="A41" t="s">
        <v>18</v>
      </c>
      <c r="B41">
        <f>IF(PorcentajeDeAprobacionXMateria[[#This Row],[total]]=0,0,PorcentajeDeAprobacionXMateria[[#This Row],[aprobados]]/PorcentajeDeAprobacionXMateria[[#This Row],[total]])</f>
        <v>0</v>
      </c>
      <c r="C41">
        <v>0</v>
      </c>
      <c r="D41">
        <v>2</v>
      </c>
    </row>
    <row r="42" spans="1:4" x14ac:dyDescent="0.25">
      <c r="A42" t="s">
        <v>19</v>
      </c>
      <c r="B42">
        <f>IF(PorcentajeDeAprobacionXMateria[[#This Row],[total]]=0,0,PorcentajeDeAprobacionXMateria[[#This Row],[aprobados]]/PorcentajeDeAprobacionXMateria[[#This Row],[total]])</f>
        <v>0</v>
      </c>
      <c r="C42">
        <v>0</v>
      </c>
      <c r="D42">
        <v>1</v>
      </c>
    </row>
    <row r="43" spans="1:4" x14ac:dyDescent="0.25">
      <c r="A43" t="s">
        <v>22</v>
      </c>
      <c r="B43">
        <f>IF(PorcentajeDeAprobacionXMateria[[#This Row],[total]]=0,0,PorcentajeDeAprobacionXMateria[[#This Row],[aprobados]]/PorcentajeDeAprobacionXMateria[[#This Row],[total]])</f>
        <v>0</v>
      </c>
      <c r="C43">
        <v>0</v>
      </c>
      <c r="D43">
        <v>1</v>
      </c>
    </row>
    <row r="44" spans="1:4" x14ac:dyDescent="0.25">
      <c r="A44" t="s">
        <v>23</v>
      </c>
      <c r="B44">
        <f>IF(PorcentajeDeAprobacionXMateria[[#This Row],[total]]=0,0,PorcentajeDeAprobacionXMateria[[#This Row],[aprobados]]/PorcentajeDeAprobacionXMateria[[#This Row],[total]])</f>
        <v>0</v>
      </c>
      <c r="C44">
        <v>0</v>
      </c>
      <c r="D44">
        <v>1</v>
      </c>
    </row>
    <row r="45" spans="1:4" x14ac:dyDescent="0.25">
      <c r="A45" t="s">
        <v>25</v>
      </c>
      <c r="B45">
        <f>IF(PorcentajeDeAprobacionXMateria[[#This Row],[total]]=0,0,PorcentajeDeAprobacionXMateria[[#This Row],[aprobados]]/PorcentajeDeAprobacionXMateria[[#This Row],[total]])</f>
        <v>0</v>
      </c>
      <c r="C45">
        <v>0</v>
      </c>
      <c r="D45">
        <v>1</v>
      </c>
    </row>
    <row r="46" spans="1:4" x14ac:dyDescent="0.25">
      <c r="A46" t="s">
        <v>28</v>
      </c>
      <c r="B46">
        <f>IF(PorcentajeDeAprobacionXMateria[[#This Row],[total]]=0,0,PorcentajeDeAprobacionXMateria[[#This Row],[aprobados]]/PorcentajeDeAprobacionXMateria[[#This Row],[total]])</f>
        <v>0</v>
      </c>
      <c r="C46">
        <v>0</v>
      </c>
      <c r="D46">
        <v>1</v>
      </c>
    </row>
    <row r="47" spans="1:4" x14ac:dyDescent="0.25">
      <c r="A47" t="s">
        <v>32</v>
      </c>
      <c r="B47">
        <f>IF(PorcentajeDeAprobacionXMateria[[#This Row],[total]]=0,0,PorcentajeDeAprobacionXMateria[[#This Row],[aprobados]]/PorcentajeDeAprobacionXMateria[[#This Row],[total]])</f>
        <v>0</v>
      </c>
      <c r="C47">
        <v>0</v>
      </c>
      <c r="D47">
        <v>1</v>
      </c>
    </row>
    <row r="48" spans="1:4" x14ac:dyDescent="0.25">
      <c r="A48" t="s">
        <v>33</v>
      </c>
      <c r="B48">
        <f>IF(PorcentajeDeAprobacionXMateria[[#This Row],[total]]=0,0,PorcentajeDeAprobacionXMateria[[#This Row],[aprobados]]/PorcentajeDeAprobacionXMateria[[#This Row],[total]])</f>
        <v>0</v>
      </c>
      <c r="C48">
        <v>0</v>
      </c>
      <c r="D48">
        <v>1</v>
      </c>
    </row>
    <row r="49" spans="1:4" x14ac:dyDescent="0.25">
      <c r="A49" t="s">
        <v>35</v>
      </c>
      <c r="B49">
        <f>IF(PorcentajeDeAprobacionXMateria[[#This Row],[total]]=0,0,PorcentajeDeAprobacionXMateria[[#This Row],[aprobados]]/PorcentajeDeAprobacionXMateria[[#This Row],[total]])</f>
        <v>0</v>
      </c>
      <c r="C49">
        <v>0</v>
      </c>
      <c r="D49">
        <v>1</v>
      </c>
    </row>
    <row r="50" spans="1:4" x14ac:dyDescent="0.25">
      <c r="A50" t="s">
        <v>36</v>
      </c>
      <c r="B50">
        <f>IF(PorcentajeDeAprobacionXMateria[[#This Row],[total]]=0,0,PorcentajeDeAprobacionXMateria[[#This Row],[aprobados]]/PorcentajeDeAprobacionXMateria[[#This Row],[total]])</f>
        <v>0</v>
      </c>
      <c r="C50">
        <v>0</v>
      </c>
      <c r="D50">
        <v>1</v>
      </c>
    </row>
    <row r="51" spans="1:4" x14ac:dyDescent="0.25">
      <c r="A51" t="s">
        <v>37</v>
      </c>
      <c r="B51">
        <f>IF(PorcentajeDeAprobacionXMateria[[#This Row],[total]]=0,0,PorcentajeDeAprobacionXMateria[[#This Row],[aprobados]]/PorcentajeDeAprobacionXMateria[[#This Row],[total]])</f>
        <v>0</v>
      </c>
      <c r="C51">
        <v>0</v>
      </c>
      <c r="D51">
        <v>1</v>
      </c>
    </row>
    <row r="52" spans="1:4" x14ac:dyDescent="0.25">
      <c r="A52" t="s">
        <v>39</v>
      </c>
      <c r="B52">
        <f>IF(PorcentajeDeAprobacionXMateria[[#This Row],[total]]=0,0,PorcentajeDeAprobacionXMateria[[#This Row],[aprobados]]/PorcentajeDeAprobacionXMateria[[#This Row],[total]])</f>
        <v>0</v>
      </c>
      <c r="C52">
        <v>0</v>
      </c>
      <c r="D52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EAE4-6120-4D67-A99F-BE223CF07B1E}">
  <dimension ref="A1:C55"/>
  <sheetViews>
    <sheetView tabSelected="1" topLeftCell="A31" workbookViewId="0">
      <selection activeCell="F19" sqref="F19"/>
    </sheetView>
  </sheetViews>
  <sheetFormatPr baseColWidth="10" defaultRowHeight="15" x14ac:dyDescent="0.25"/>
  <cols>
    <col min="1" max="1" width="46.28515625" bestFit="1" customWidth="1"/>
    <col min="2" max="2" width="11.140625" bestFit="1" customWidth="1"/>
    <col min="3" max="3" width="17.140625" customWidth="1"/>
  </cols>
  <sheetData>
    <row r="1" spans="1:3" x14ac:dyDescent="0.25">
      <c r="A1" t="s">
        <v>0</v>
      </c>
      <c r="B1" t="s">
        <v>114</v>
      </c>
      <c r="C1" t="s">
        <v>1</v>
      </c>
    </row>
    <row r="2" spans="1:3" x14ac:dyDescent="0.25">
      <c r="A2" t="s">
        <v>61</v>
      </c>
      <c r="B2">
        <f>rankingFlashcards[[#This Row],[Column2]]/100</f>
        <v>5</v>
      </c>
      <c r="C2">
        <v>500</v>
      </c>
    </row>
    <row r="3" spans="1:3" x14ac:dyDescent="0.25">
      <c r="A3" t="s">
        <v>65</v>
      </c>
      <c r="B3">
        <f>rankingFlashcards[[#This Row],[Column2]]/100</f>
        <v>5</v>
      </c>
      <c r="C3">
        <v>500</v>
      </c>
    </row>
    <row r="4" spans="1:3" x14ac:dyDescent="0.25">
      <c r="A4" t="s">
        <v>67</v>
      </c>
      <c r="B4">
        <f>rankingFlashcards[[#This Row],[Column2]]/100</f>
        <v>5</v>
      </c>
      <c r="C4">
        <v>500</v>
      </c>
    </row>
    <row r="5" spans="1:3" x14ac:dyDescent="0.25">
      <c r="A5" t="s">
        <v>69</v>
      </c>
      <c r="B5">
        <f>rankingFlashcards[[#This Row],[Column2]]/100</f>
        <v>5</v>
      </c>
      <c r="C5">
        <v>500</v>
      </c>
    </row>
    <row r="6" spans="1:3" x14ac:dyDescent="0.25">
      <c r="A6" t="s">
        <v>70</v>
      </c>
      <c r="B6">
        <f>rankingFlashcards[[#This Row],[Column2]]/100</f>
        <v>5</v>
      </c>
      <c r="C6">
        <v>500</v>
      </c>
    </row>
    <row r="7" spans="1:3" x14ac:dyDescent="0.25">
      <c r="A7" t="s">
        <v>72</v>
      </c>
      <c r="B7">
        <f>rankingFlashcards[[#This Row],[Column2]]/100</f>
        <v>5</v>
      </c>
      <c r="C7">
        <v>500</v>
      </c>
    </row>
    <row r="8" spans="1:3" x14ac:dyDescent="0.25">
      <c r="A8" t="s">
        <v>74</v>
      </c>
      <c r="B8">
        <f>rankingFlashcards[[#This Row],[Column2]]/100</f>
        <v>5</v>
      </c>
      <c r="C8">
        <v>500</v>
      </c>
    </row>
    <row r="9" spans="1:3" x14ac:dyDescent="0.25">
      <c r="A9" t="s">
        <v>75</v>
      </c>
      <c r="B9">
        <f>rankingFlashcards[[#This Row],[Column2]]/100</f>
        <v>5</v>
      </c>
      <c r="C9">
        <v>500</v>
      </c>
    </row>
    <row r="10" spans="1:3" x14ac:dyDescent="0.25">
      <c r="A10" t="s">
        <v>76</v>
      </c>
      <c r="B10">
        <f>rankingFlashcards[[#This Row],[Column2]]/100</f>
        <v>5</v>
      </c>
      <c r="C10">
        <v>500</v>
      </c>
    </row>
    <row r="11" spans="1:3" x14ac:dyDescent="0.25">
      <c r="A11" t="s">
        <v>78</v>
      </c>
      <c r="B11">
        <f>rankingFlashcards[[#This Row],[Column2]]/100</f>
        <v>5</v>
      </c>
      <c r="C11">
        <v>500</v>
      </c>
    </row>
    <row r="12" spans="1:3" x14ac:dyDescent="0.25">
      <c r="A12" t="s">
        <v>81</v>
      </c>
      <c r="B12">
        <f>rankingFlashcards[[#This Row],[Column2]]/100</f>
        <v>5</v>
      </c>
      <c r="C12">
        <v>500</v>
      </c>
    </row>
    <row r="13" spans="1:3" x14ac:dyDescent="0.25">
      <c r="A13" t="s">
        <v>82</v>
      </c>
      <c r="B13">
        <f>rankingFlashcards[[#This Row],[Column2]]/100</f>
        <v>5</v>
      </c>
      <c r="C13">
        <v>500</v>
      </c>
    </row>
    <row r="14" spans="1:3" x14ac:dyDescent="0.25">
      <c r="A14" t="s">
        <v>84</v>
      </c>
      <c r="B14">
        <f>rankingFlashcards[[#This Row],[Column2]]/100</f>
        <v>5</v>
      </c>
      <c r="C14">
        <v>500</v>
      </c>
    </row>
    <row r="15" spans="1:3" x14ac:dyDescent="0.25">
      <c r="A15" t="s">
        <v>85</v>
      </c>
      <c r="B15">
        <f>rankingFlashcards[[#This Row],[Column2]]/100</f>
        <v>5</v>
      </c>
      <c r="C15">
        <v>500</v>
      </c>
    </row>
    <row r="16" spans="1:3" x14ac:dyDescent="0.25">
      <c r="A16" t="s">
        <v>87</v>
      </c>
      <c r="B16">
        <f>rankingFlashcards[[#This Row],[Column2]]/100</f>
        <v>5</v>
      </c>
      <c r="C16">
        <v>500</v>
      </c>
    </row>
    <row r="17" spans="1:3" x14ac:dyDescent="0.25">
      <c r="A17" t="s">
        <v>89</v>
      </c>
      <c r="B17">
        <f>rankingFlashcards[[#This Row],[Column2]]/100</f>
        <v>5</v>
      </c>
      <c r="C17">
        <v>500</v>
      </c>
    </row>
    <row r="18" spans="1:3" x14ac:dyDescent="0.25">
      <c r="A18" t="s">
        <v>91</v>
      </c>
      <c r="B18">
        <f>rankingFlashcards[[#This Row],[Column2]]/100</f>
        <v>5</v>
      </c>
      <c r="C18">
        <v>500</v>
      </c>
    </row>
    <row r="19" spans="1:3" x14ac:dyDescent="0.25">
      <c r="A19" t="s">
        <v>92</v>
      </c>
      <c r="B19">
        <f>rankingFlashcards[[#This Row],[Column2]]/100</f>
        <v>5</v>
      </c>
      <c r="C19">
        <v>500</v>
      </c>
    </row>
    <row r="20" spans="1:3" x14ac:dyDescent="0.25">
      <c r="A20" t="s">
        <v>95</v>
      </c>
      <c r="B20">
        <f>rankingFlashcards[[#This Row],[Column2]]/100</f>
        <v>5</v>
      </c>
      <c r="C20">
        <v>500</v>
      </c>
    </row>
    <row r="21" spans="1:3" x14ac:dyDescent="0.25">
      <c r="A21" t="s">
        <v>96</v>
      </c>
      <c r="B21">
        <f>rankingFlashcards[[#This Row],[Column2]]/100</f>
        <v>5</v>
      </c>
      <c r="C21">
        <v>500</v>
      </c>
    </row>
    <row r="22" spans="1:3" x14ac:dyDescent="0.25">
      <c r="A22" t="s">
        <v>98</v>
      </c>
      <c r="B22">
        <f>rankingFlashcards[[#This Row],[Column2]]/100</f>
        <v>5</v>
      </c>
      <c r="C22">
        <v>500</v>
      </c>
    </row>
    <row r="23" spans="1:3" x14ac:dyDescent="0.25">
      <c r="A23" t="s">
        <v>100</v>
      </c>
      <c r="B23">
        <f>rankingFlashcards[[#This Row],[Column2]]/100</f>
        <v>5</v>
      </c>
      <c r="C23">
        <v>500</v>
      </c>
    </row>
    <row r="24" spans="1:3" x14ac:dyDescent="0.25">
      <c r="A24" t="s">
        <v>102</v>
      </c>
      <c r="B24">
        <f>rankingFlashcards[[#This Row],[Column2]]/100</f>
        <v>5</v>
      </c>
      <c r="C24">
        <v>500</v>
      </c>
    </row>
    <row r="25" spans="1:3" x14ac:dyDescent="0.25">
      <c r="A25" t="s">
        <v>104</v>
      </c>
      <c r="B25">
        <f>rankingFlashcards[[#This Row],[Column2]]/100</f>
        <v>5</v>
      </c>
      <c r="C25">
        <v>500</v>
      </c>
    </row>
    <row r="26" spans="1:3" x14ac:dyDescent="0.25">
      <c r="A26" t="s">
        <v>105</v>
      </c>
      <c r="B26">
        <f>rankingFlashcards[[#This Row],[Column2]]/100</f>
        <v>5</v>
      </c>
      <c r="C26">
        <v>500</v>
      </c>
    </row>
    <row r="27" spans="1:3" x14ac:dyDescent="0.25">
      <c r="A27" t="s">
        <v>107</v>
      </c>
      <c r="B27">
        <f>rankingFlashcards[[#This Row],[Column2]]/100</f>
        <v>5</v>
      </c>
      <c r="C27">
        <v>500</v>
      </c>
    </row>
    <row r="28" spans="1:3" x14ac:dyDescent="0.25">
      <c r="A28" t="s">
        <v>109</v>
      </c>
      <c r="B28">
        <f>rankingFlashcards[[#This Row],[Column2]]/100</f>
        <v>5</v>
      </c>
      <c r="C28">
        <v>500</v>
      </c>
    </row>
    <row r="29" spans="1:3" x14ac:dyDescent="0.25">
      <c r="A29" t="s">
        <v>110</v>
      </c>
      <c r="B29">
        <f>rankingFlashcards[[#This Row],[Column2]]/100</f>
        <v>5</v>
      </c>
      <c r="C29">
        <v>500</v>
      </c>
    </row>
    <row r="30" spans="1:3" x14ac:dyDescent="0.25">
      <c r="A30" t="s">
        <v>59</v>
      </c>
      <c r="B30">
        <f>rankingFlashcards[[#This Row],[Column2]]/100</f>
        <v>4.67</v>
      </c>
      <c r="C30">
        <v>467</v>
      </c>
    </row>
    <row r="31" spans="1:3" x14ac:dyDescent="0.25">
      <c r="A31" t="s">
        <v>63</v>
      </c>
      <c r="B31">
        <f>rankingFlashcards[[#This Row],[Column2]]/100</f>
        <v>4.67</v>
      </c>
      <c r="C31">
        <v>467</v>
      </c>
    </row>
    <row r="32" spans="1:3" x14ac:dyDescent="0.25">
      <c r="A32" t="s">
        <v>68</v>
      </c>
      <c r="B32">
        <f>rankingFlashcards[[#This Row],[Column2]]/100</f>
        <v>4.67</v>
      </c>
      <c r="C32">
        <v>467</v>
      </c>
    </row>
    <row r="33" spans="1:3" x14ac:dyDescent="0.25">
      <c r="A33" t="s">
        <v>77</v>
      </c>
      <c r="B33">
        <f>rankingFlashcards[[#This Row],[Column2]]/100</f>
        <v>4.67</v>
      </c>
      <c r="C33">
        <v>467</v>
      </c>
    </row>
    <row r="34" spans="1:3" x14ac:dyDescent="0.25">
      <c r="A34" t="s">
        <v>80</v>
      </c>
      <c r="B34">
        <f>rankingFlashcards[[#This Row],[Column2]]/100</f>
        <v>4.67</v>
      </c>
      <c r="C34">
        <v>467</v>
      </c>
    </row>
    <row r="35" spans="1:3" x14ac:dyDescent="0.25">
      <c r="A35" t="s">
        <v>88</v>
      </c>
      <c r="B35">
        <f>rankingFlashcards[[#This Row],[Column2]]/100</f>
        <v>4.67</v>
      </c>
      <c r="C35">
        <v>467</v>
      </c>
    </row>
    <row r="36" spans="1:3" x14ac:dyDescent="0.25">
      <c r="A36" t="s">
        <v>93</v>
      </c>
      <c r="B36">
        <f>rankingFlashcards[[#This Row],[Column2]]/100</f>
        <v>4.67</v>
      </c>
      <c r="C36">
        <v>467</v>
      </c>
    </row>
    <row r="37" spans="1:3" x14ac:dyDescent="0.25">
      <c r="A37" t="s">
        <v>99</v>
      </c>
      <c r="B37">
        <f>rankingFlashcards[[#This Row],[Column2]]/100</f>
        <v>4.67</v>
      </c>
      <c r="C37">
        <v>467</v>
      </c>
    </row>
    <row r="38" spans="1:3" x14ac:dyDescent="0.25">
      <c r="A38" t="s">
        <v>106</v>
      </c>
      <c r="B38">
        <f>rankingFlashcards[[#This Row],[Column2]]/100</f>
        <v>4.67</v>
      </c>
      <c r="C38">
        <v>467</v>
      </c>
    </row>
    <row r="39" spans="1:3" x14ac:dyDescent="0.25">
      <c r="A39" t="s">
        <v>60</v>
      </c>
      <c r="B39">
        <f>rankingFlashcards[[#This Row],[Column2]]/100</f>
        <v>4.5</v>
      </c>
      <c r="C39">
        <v>450</v>
      </c>
    </row>
    <row r="40" spans="1:3" x14ac:dyDescent="0.25">
      <c r="A40" t="s">
        <v>73</v>
      </c>
      <c r="B40">
        <f>rankingFlashcards[[#This Row],[Column2]]/100</f>
        <v>4.5</v>
      </c>
      <c r="C40">
        <v>450</v>
      </c>
    </row>
    <row r="41" spans="1:3" x14ac:dyDescent="0.25">
      <c r="A41" t="s">
        <v>79</v>
      </c>
      <c r="B41">
        <f>rankingFlashcards[[#This Row],[Column2]]/100</f>
        <v>4.5</v>
      </c>
      <c r="C41">
        <v>450</v>
      </c>
    </row>
    <row r="42" spans="1:3" x14ac:dyDescent="0.25">
      <c r="A42" t="s">
        <v>90</v>
      </c>
      <c r="B42">
        <f>rankingFlashcards[[#This Row],[Column2]]/100</f>
        <v>4.5</v>
      </c>
      <c r="C42">
        <v>450</v>
      </c>
    </row>
    <row r="43" spans="1:3" x14ac:dyDescent="0.25">
      <c r="A43" t="s">
        <v>94</v>
      </c>
      <c r="B43">
        <f>rankingFlashcards[[#This Row],[Column2]]/100</f>
        <v>4.5</v>
      </c>
      <c r="C43">
        <v>450</v>
      </c>
    </row>
    <row r="44" spans="1:3" x14ac:dyDescent="0.25">
      <c r="A44" t="s">
        <v>97</v>
      </c>
      <c r="B44">
        <f>rankingFlashcards[[#This Row],[Column2]]/100</f>
        <v>4.5</v>
      </c>
      <c r="C44">
        <v>450</v>
      </c>
    </row>
    <row r="45" spans="1:3" x14ac:dyDescent="0.25">
      <c r="A45" t="s">
        <v>101</v>
      </c>
      <c r="B45">
        <f>rankingFlashcards[[#This Row],[Column2]]/100</f>
        <v>4.5</v>
      </c>
      <c r="C45">
        <v>450</v>
      </c>
    </row>
    <row r="46" spans="1:3" x14ac:dyDescent="0.25">
      <c r="A46" t="s">
        <v>108</v>
      </c>
      <c r="B46">
        <f>rankingFlashcards[[#This Row],[Column2]]/100</f>
        <v>4.5</v>
      </c>
      <c r="C46">
        <v>450</v>
      </c>
    </row>
    <row r="47" spans="1:3" x14ac:dyDescent="0.25">
      <c r="A47" t="s">
        <v>111</v>
      </c>
      <c r="B47">
        <f>rankingFlashcards[[#This Row],[Column2]]/100</f>
        <v>4.5</v>
      </c>
      <c r="C47">
        <v>450</v>
      </c>
    </row>
    <row r="48" spans="1:3" x14ac:dyDescent="0.25">
      <c r="A48" t="s">
        <v>112</v>
      </c>
      <c r="B48">
        <f>rankingFlashcards[[#This Row],[Column2]]/100</f>
        <v>4.5</v>
      </c>
      <c r="C48">
        <v>450</v>
      </c>
    </row>
    <row r="49" spans="1:3" x14ac:dyDescent="0.25">
      <c r="A49" t="s">
        <v>62</v>
      </c>
      <c r="B49">
        <f>rankingFlashcards[[#This Row],[Column2]]/100</f>
        <v>4.33</v>
      </c>
      <c r="C49">
        <v>433</v>
      </c>
    </row>
    <row r="50" spans="1:3" x14ac:dyDescent="0.25">
      <c r="A50" t="s">
        <v>71</v>
      </c>
      <c r="B50">
        <f>rankingFlashcards[[#This Row],[Column2]]/100</f>
        <v>4.33</v>
      </c>
      <c r="C50">
        <v>433</v>
      </c>
    </row>
    <row r="51" spans="1:3" x14ac:dyDescent="0.25">
      <c r="A51" t="s">
        <v>86</v>
      </c>
      <c r="B51">
        <f>rankingFlashcards[[#This Row],[Column2]]/100</f>
        <v>4.33</v>
      </c>
      <c r="C51">
        <v>433</v>
      </c>
    </row>
    <row r="52" spans="1:3" x14ac:dyDescent="0.25">
      <c r="A52" t="s">
        <v>103</v>
      </c>
      <c r="B52">
        <f>rankingFlashcards[[#This Row],[Column2]]/100</f>
        <v>4.33</v>
      </c>
      <c r="C52">
        <v>433</v>
      </c>
    </row>
    <row r="53" spans="1:3" x14ac:dyDescent="0.25">
      <c r="A53" t="s">
        <v>64</v>
      </c>
      <c r="B53">
        <f>rankingFlashcards[[#This Row],[Column2]]/100</f>
        <v>4</v>
      </c>
      <c r="C53">
        <v>400</v>
      </c>
    </row>
    <row r="54" spans="1:3" x14ac:dyDescent="0.25">
      <c r="A54" t="s">
        <v>66</v>
      </c>
      <c r="B54">
        <f>rankingFlashcards[[#This Row],[Column2]]/100</f>
        <v>4</v>
      </c>
      <c r="C54">
        <v>400</v>
      </c>
    </row>
    <row r="55" spans="1:3" x14ac:dyDescent="0.25">
      <c r="A55" t="s">
        <v>83</v>
      </c>
      <c r="B55">
        <f>rankingFlashcards[[#This Row],[Column2]]/100</f>
        <v>4</v>
      </c>
      <c r="C55">
        <v>400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A17D-AA01-46B1-92D5-6B86C720D8E0}">
  <dimension ref="A1:B52"/>
  <sheetViews>
    <sheetView workbookViewId="0">
      <selection activeCell="F19" sqref="F19"/>
    </sheetView>
  </sheetViews>
  <sheetFormatPr baseColWidth="10" defaultRowHeight="15" x14ac:dyDescent="0.25"/>
  <cols>
    <col min="1" max="1" width="39.710937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2</v>
      </c>
    </row>
    <row r="3" spans="1:2" x14ac:dyDescent="0.25">
      <c r="A3" t="s">
        <v>9</v>
      </c>
      <c r="B3">
        <v>2</v>
      </c>
    </row>
    <row r="4" spans="1:2" x14ac:dyDescent="0.25">
      <c r="A4" t="s">
        <v>16</v>
      </c>
      <c r="B4">
        <v>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1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17</v>
      </c>
      <c r="B15">
        <v>1</v>
      </c>
    </row>
    <row r="16" spans="1:2" x14ac:dyDescent="0.25">
      <c r="A16" t="s">
        <v>18</v>
      </c>
      <c r="B16">
        <v>1</v>
      </c>
    </row>
    <row r="17" spans="1:2" x14ac:dyDescent="0.25">
      <c r="A17" t="s">
        <v>19</v>
      </c>
      <c r="B17">
        <v>1</v>
      </c>
    </row>
    <row r="18" spans="1:2" x14ac:dyDescent="0.25">
      <c r="A18" t="s">
        <v>20</v>
      </c>
      <c r="B18">
        <v>1</v>
      </c>
    </row>
    <row r="19" spans="1:2" x14ac:dyDescent="0.25">
      <c r="A19" t="s">
        <v>21</v>
      </c>
      <c r="B19">
        <v>1</v>
      </c>
    </row>
    <row r="20" spans="1:2" x14ac:dyDescent="0.25">
      <c r="A20" t="s">
        <v>22</v>
      </c>
      <c r="B20">
        <v>1</v>
      </c>
    </row>
    <row r="21" spans="1:2" x14ac:dyDescent="0.25">
      <c r="A21" t="s">
        <v>23</v>
      </c>
      <c r="B21">
        <v>1</v>
      </c>
    </row>
    <row r="22" spans="1:2" x14ac:dyDescent="0.25">
      <c r="A22" t="s">
        <v>24</v>
      </c>
      <c r="B22">
        <v>1</v>
      </c>
    </row>
    <row r="23" spans="1:2" x14ac:dyDescent="0.25">
      <c r="A23" t="s">
        <v>25</v>
      </c>
      <c r="B23">
        <v>1</v>
      </c>
    </row>
    <row r="24" spans="1:2" x14ac:dyDescent="0.25">
      <c r="A24" t="s">
        <v>26</v>
      </c>
      <c r="B24">
        <v>1</v>
      </c>
    </row>
    <row r="25" spans="1:2" x14ac:dyDescent="0.25">
      <c r="A25" t="s">
        <v>27</v>
      </c>
      <c r="B25">
        <v>1</v>
      </c>
    </row>
    <row r="26" spans="1:2" x14ac:dyDescent="0.25">
      <c r="A26" t="s">
        <v>28</v>
      </c>
      <c r="B26">
        <v>1</v>
      </c>
    </row>
    <row r="27" spans="1:2" x14ac:dyDescent="0.25">
      <c r="A27" t="s">
        <v>29</v>
      </c>
      <c r="B27">
        <v>1</v>
      </c>
    </row>
    <row r="28" spans="1:2" x14ac:dyDescent="0.25">
      <c r="A28" t="s">
        <v>30</v>
      </c>
      <c r="B28">
        <v>1</v>
      </c>
    </row>
    <row r="29" spans="1:2" x14ac:dyDescent="0.25">
      <c r="A29" t="s">
        <v>31</v>
      </c>
      <c r="B29">
        <v>1</v>
      </c>
    </row>
    <row r="30" spans="1:2" x14ac:dyDescent="0.25">
      <c r="A30" t="s">
        <v>32</v>
      </c>
      <c r="B30">
        <v>1</v>
      </c>
    </row>
    <row r="31" spans="1:2" x14ac:dyDescent="0.25">
      <c r="A31" t="s">
        <v>33</v>
      </c>
      <c r="B31">
        <v>1</v>
      </c>
    </row>
    <row r="32" spans="1:2" x14ac:dyDescent="0.25">
      <c r="A32" t="s">
        <v>34</v>
      </c>
      <c r="B32">
        <v>1</v>
      </c>
    </row>
    <row r="33" spans="1:2" x14ac:dyDescent="0.25">
      <c r="A33" t="s">
        <v>35</v>
      </c>
      <c r="B33">
        <v>1</v>
      </c>
    </row>
    <row r="34" spans="1:2" x14ac:dyDescent="0.25">
      <c r="A34" t="s">
        <v>36</v>
      </c>
      <c r="B34">
        <v>1</v>
      </c>
    </row>
    <row r="35" spans="1:2" x14ac:dyDescent="0.25">
      <c r="A35" t="s">
        <v>37</v>
      </c>
      <c r="B35">
        <v>1</v>
      </c>
    </row>
    <row r="36" spans="1:2" x14ac:dyDescent="0.25">
      <c r="A36" t="s">
        <v>38</v>
      </c>
      <c r="B36">
        <v>1</v>
      </c>
    </row>
    <row r="37" spans="1:2" x14ac:dyDescent="0.25">
      <c r="A37" t="s">
        <v>39</v>
      </c>
      <c r="B37">
        <v>1</v>
      </c>
    </row>
    <row r="38" spans="1:2" x14ac:dyDescent="0.25">
      <c r="A38" t="s">
        <v>40</v>
      </c>
      <c r="B38">
        <v>1</v>
      </c>
    </row>
    <row r="39" spans="1:2" x14ac:dyDescent="0.25">
      <c r="A39" t="s">
        <v>41</v>
      </c>
      <c r="B39">
        <v>1</v>
      </c>
    </row>
    <row r="40" spans="1:2" x14ac:dyDescent="0.25">
      <c r="A40" t="s">
        <v>42</v>
      </c>
      <c r="B40">
        <v>1</v>
      </c>
    </row>
    <row r="41" spans="1:2" x14ac:dyDescent="0.25">
      <c r="A41" t="s">
        <v>43</v>
      </c>
      <c r="B41">
        <v>1</v>
      </c>
    </row>
    <row r="42" spans="1:2" x14ac:dyDescent="0.25">
      <c r="A42" t="s">
        <v>44</v>
      </c>
      <c r="B42">
        <v>1</v>
      </c>
    </row>
    <row r="43" spans="1:2" x14ac:dyDescent="0.25">
      <c r="A43" t="s">
        <v>45</v>
      </c>
      <c r="B43">
        <v>1</v>
      </c>
    </row>
    <row r="44" spans="1:2" x14ac:dyDescent="0.25">
      <c r="A44" t="s">
        <v>46</v>
      </c>
      <c r="B44">
        <v>1</v>
      </c>
    </row>
    <row r="45" spans="1:2" x14ac:dyDescent="0.25">
      <c r="A45" t="s">
        <v>47</v>
      </c>
      <c r="B45">
        <v>1</v>
      </c>
    </row>
    <row r="46" spans="1:2" x14ac:dyDescent="0.25">
      <c r="A46" t="s">
        <v>48</v>
      </c>
      <c r="B46">
        <v>1</v>
      </c>
    </row>
    <row r="47" spans="1:2" x14ac:dyDescent="0.25">
      <c r="A47" t="s">
        <v>49</v>
      </c>
      <c r="B47">
        <v>1</v>
      </c>
    </row>
    <row r="48" spans="1:2" x14ac:dyDescent="0.25">
      <c r="A48" t="s">
        <v>50</v>
      </c>
      <c r="B48">
        <v>1</v>
      </c>
    </row>
    <row r="49" spans="1:2" x14ac:dyDescent="0.25">
      <c r="A49" t="s">
        <v>51</v>
      </c>
      <c r="B49">
        <v>1</v>
      </c>
    </row>
    <row r="50" spans="1:2" x14ac:dyDescent="0.25">
      <c r="A50" t="s">
        <v>52</v>
      </c>
      <c r="B50">
        <v>1</v>
      </c>
    </row>
    <row r="51" spans="1:2" x14ac:dyDescent="0.25">
      <c r="A51" t="s">
        <v>53</v>
      </c>
      <c r="B51">
        <v>1</v>
      </c>
    </row>
    <row r="52" spans="1:2" x14ac:dyDescent="0.25">
      <c r="A52" t="s">
        <v>54</v>
      </c>
      <c r="B52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B9EB98-C072-44C6-AC5F-38CCC0B7C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cantEstudiantesUsanPack5Materia</vt:lpstr>
      <vt:lpstr>cantidadInscriptosXMateria</vt:lpstr>
      <vt:lpstr>PorcentajeDeAprobacionXMateria</vt:lpstr>
      <vt:lpstr>rankingFlashcards</vt:lpstr>
      <vt:lpstr>rankingMateriasFlashcards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Sampieri</dc:creator>
  <cp:lastModifiedBy>Juan Sampieri</cp:lastModifiedBy>
  <dcterms:created xsi:type="dcterms:W3CDTF">2025-11-02T03:29:56Z</dcterms:created>
  <dcterms:modified xsi:type="dcterms:W3CDTF">2025-11-02T15:21:21Z</dcterms:modified>
</cp:coreProperties>
</file>